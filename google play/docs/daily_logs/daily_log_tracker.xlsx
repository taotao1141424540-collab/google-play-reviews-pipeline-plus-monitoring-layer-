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224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_Log" sheetId="2" state="visible" r:id="rId2"/>
    <sheet xmlns:r="http://schemas.openxmlformats.org/officeDocument/2006/relationships" name="Day1_Done" sheetId="3" state="visible" r:id="rId3"/>
    <sheet xmlns:r="http://schemas.openxmlformats.org/officeDocument/2006/relationships" name="Day2_Done" sheetId="4" state="visible" r:id="rId4"/>
    <sheet xmlns:r="http://schemas.openxmlformats.org/officeDocument/2006/relationships" name="Day3_Done" sheetId="5" state="visible" r:id="rId5"/>
    <sheet xmlns:r="http://schemas.openxmlformats.org/officeDocument/2006/relationships" name="Day4_Done" sheetId="6" state="visible" r:id="rId6"/>
    <sheet xmlns:r="http://schemas.openxmlformats.org/officeDocument/2006/relationships" name="Day5_Done" sheetId="7" state="visible" r:id="rId7"/>
    <sheet xmlns:r="http://schemas.openxmlformats.org/officeDocument/2006/relationships" name="Day6_Done" sheetId="8" state="visible" r:id="rId8"/>
    <sheet xmlns:r="http://schemas.openxmlformats.org/officeDocument/2006/relationships" name="Day7_Done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sz val="14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sz val="16"/>
      <scheme val="minor"/>
    </font>
    <font>
      <name val="宋体"/>
      <charset val="134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6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7" borderId="7" applyAlignment="1">
      <alignment vertical="center"/>
    </xf>
    <xf numFmtId="0" fontId="16" fillId="8" borderId="8" applyAlignment="1">
      <alignment vertical="center"/>
    </xf>
    <xf numFmtId="0" fontId="17" fillId="8" borderId="7" applyAlignment="1">
      <alignment vertical="center"/>
    </xf>
    <xf numFmtId="0" fontId="18" fillId="9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4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10" fontId="1" fillId="5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H16" sqref="H16"/>
    </sheetView>
  </sheetViews>
  <sheetFormatPr baseColWidth="8" defaultColWidth="9" defaultRowHeight="16.8"/>
  <cols>
    <col width="26" customWidth="1" min="1" max="1"/>
    <col width="16" customWidth="1" min="2" max="2"/>
    <col width="14" customWidth="1" min="3" max="3"/>
    <col width="12" customWidth="1" min="4" max="4"/>
    <col width="18" customWidth="1" min="5" max="5"/>
    <col width="14" customWidth="1" min="6" max="6"/>
    <col width="34" customWidth="1" min="7" max="7"/>
  </cols>
  <sheetData>
    <row r="1" ht="23.2" customHeight="1">
      <c r="A1" s="10" t="inlineStr">
        <is>
          <t>Weekly Progress Dashboard (Linked)</t>
        </is>
      </c>
      <c r="H1" s="11" t="n"/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</row>
    <row r="3">
      <c r="A3" s="2" t="inlineStr">
        <is>
          <t>Week Start Date</t>
        </is>
      </c>
      <c r="B3" s="11">
        <f>MIN(Daily_Log!A:A)</f>
        <v/>
      </c>
      <c r="C3" s="11" t="n"/>
      <c r="D3" s="11" t="n"/>
      <c r="E3" s="11" t="n"/>
      <c r="F3" s="11" t="n"/>
      <c r="G3" s="11" t="n"/>
      <c r="H3" s="11" t="n"/>
    </row>
    <row r="4">
      <c r="A4" s="2" t="inlineStr">
        <is>
          <t>Week End Date</t>
        </is>
      </c>
      <c r="B4" s="11">
        <f>MAX(Daily_Log!A:A)</f>
        <v/>
      </c>
      <c r="C4" s="11" t="n"/>
      <c r="D4" s="11" t="n"/>
      <c r="E4" s="11" t="n"/>
      <c r="F4" s="11" t="n"/>
      <c r="G4" s="11" t="n"/>
      <c r="H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</row>
    <row r="6" ht="20.4" customHeight="1">
      <c r="A6" s="12" t="inlineStr">
        <is>
          <t>Completed Tasks</t>
        </is>
      </c>
      <c r="B6" s="13">
        <f>COUNTIF(Daily_Log!G:G,"☑")</f>
        <v/>
      </c>
      <c r="C6" s="14" t="inlineStr">
        <is>
          <t>Total Tasks</t>
        </is>
      </c>
      <c r="D6" s="15">
        <f>COUNTIF(Daily_Log!G:G,"☐")+COUNTIF(Daily_Log!G:G,"☑")</f>
        <v/>
      </c>
      <c r="E6" s="16" t="inlineStr">
        <is>
          <t>Completion Rate</t>
        </is>
      </c>
      <c r="F6" s="17">
        <f>IFERROR(B6/D6,0)</f>
        <v/>
      </c>
      <c r="G6" s="11" t="n"/>
      <c r="H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</row>
    <row r="9">
      <c r="A9" s="2" t="inlineStr">
        <is>
          <t>Progress by Day (Daily_Log + DayN_Done)</t>
        </is>
      </c>
      <c r="B9" s="11" t="n"/>
      <c r="C9" s="11" t="n"/>
      <c r="D9" s="11" t="n"/>
      <c r="E9" s="11" t="n"/>
      <c r="F9" s="11" t="n"/>
      <c r="G9" s="11" t="n"/>
      <c r="H9" s="11" t="n"/>
    </row>
    <row r="10">
      <c r="A10" s="18" t="inlineStr">
        <is>
          <t>Day</t>
        </is>
      </c>
      <c r="B10" s="18" t="inlineStr">
        <is>
          <t>Completed</t>
        </is>
      </c>
      <c r="C10" s="18" t="inlineStr">
        <is>
          <t>Total</t>
        </is>
      </c>
      <c r="D10" s="18" t="inlineStr">
        <is>
          <t>Rate</t>
        </is>
      </c>
      <c r="E10" s="11" t="n"/>
      <c r="F10" s="11" t="n"/>
      <c r="G10" s="11" t="n"/>
      <c r="H10" s="11" t="n"/>
    </row>
    <row r="11">
      <c r="A11" s="19" t="inlineStr">
        <is>
          <t>Day 1</t>
        </is>
      </c>
      <c r="B11" s="19">
        <f>COUNTIFS(Daily_Log!B:B,"Day 1",Daily_Log!G:G,"☑")</f>
        <v/>
      </c>
      <c r="C11" s="19">
        <f>COUNTIFS(Daily_Log!B:B,"Day 1",Daily_Log!G:G,"☐")+COUNTIFS(Daily_Log!B:B,"Day 1",Daily_Log!G:G,"☑")</f>
        <v/>
      </c>
      <c r="D11" s="20">
        <f>IFERROR(B11/C11,0)</f>
        <v/>
      </c>
      <c r="E11" s="11" t="n"/>
      <c r="F11" s="11" t="n"/>
      <c r="G11" s="11" t="n"/>
      <c r="H11" s="11" t="n"/>
    </row>
    <row r="12">
      <c r="A12" s="19" t="inlineStr">
        <is>
          <t>Day 2</t>
        </is>
      </c>
      <c r="B12" s="19">
        <f>COUNTIFS(Daily_Log!B:B,"Day 2",Daily_Log!G:G,"☑")</f>
        <v/>
      </c>
      <c r="C12" s="19">
        <f>COUNTIFS(Daily_Log!B:B,"Day 2",Daily_Log!G:G,"☐")+COUNTIFS(Daily_Log!B:B,"Day 2",Daily_Log!G:G,"☑")</f>
        <v/>
      </c>
      <c r="D12" s="20">
        <f>IFERROR(B12/C12,0)</f>
        <v/>
      </c>
      <c r="E12" s="11" t="n"/>
      <c r="F12" s="11" t="n"/>
      <c r="G12" s="11" t="n"/>
      <c r="H12" s="11" t="n"/>
    </row>
    <row r="13">
      <c r="A13" s="19" t="inlineStr">
        <is>
          <t>Day 3</t>
        </is>
      </c>
      <c r="B13" s="19">
        <f>COUNTIFS(Daily_Log!B:B,"Day 3",Daily_Log!G:G,"☑")</f>
        <v/>
      </c>
      <c r="C13" s="19">
        <f>COUNTIFS(Daily_Log!B:B,"Day 3",Daily_Log!G:G,"☐")+COUNTIFS(Daily_Log!B:B,"Day 3",Daily_Log!G:G,"☑")</f>
        <v/>
      </c>
      <c r="D13" s="20">
        <f>IFERROR(B13/C13,0)</f>
        <v/>
      </c>
      <c r="E13" s="11" t="n"/>
      <c r="F13" s="11" t="n"/>
      <c r="G13" s="11" t="n"/>
      <c r="H13" s="11" t="n"/>
    </row>
    <row r="14">
      <c r="A14" s="19" t="inlineStr">
        <is>
          <t>Day 4</t>
        </is>
      </c>
      <c r="B14" s="19">
        <f>COUNTIFS(Daily_Log!B:B,"Day 4",Daily_Log!G:G,"☑")</f>
        <v/>
      </c>
      <c r="C14" s="19">
        <f>COUNTIFS(Daily_Log!B:B,"Day 4",Daily_Log!G:G,"☐")+COUNTIFS(Daily_Log!B:B,"Day 4",Daily_Log!G:G,"☑")</f>
        <v/>
      </c>
      <c r="D14" s="20">
        <f>IFERROR(B14/C14,0)</f>
        <v/>
      </c>
      <c r="E14" s="11" t="n"/>
      <c r="F14" s="11" t="n"/>
      <c r="G14" s="11" t="n"/>
      <c r="H14" s="11" t="n"/>
    </row>
    <row r="15">
      <c r="A15" s="19" t="inlineStr">
        <is>
          <t>Day 5</t>
        </is>
      </c>
      <c r="B15" s="19">
        <f>COUNTIFS(Daily_Log!B:B,"Day 5",Daily_Log!G:G,"☑")</f>
        <v/>
      </c>
      <c r="C15" s="19">
        <f>COUNTIFS(Daily_Log!B:B,"Day 5",Daily_Log!G:G,"☐")+COUNTIFS(Daily_Log!B:B,"Day 5",Daily_Log!G:G,"☑")</f>
        <v/>
      </c>
      <c r="D15" s="20">
        <f>IFERROR(B15/C15,0)</f>
        <v/>
      </c>
      <c r="E15" s="11" t="n"/>
      <c r="F15" s="11" t="n"/>
      <c r="G15" s="11" t="n"/>
      <c r="H15" s="11" t="n"/>
    </row>
    <row r="16">
      <c r="A16" s="19" t="inlineStr">
        <is>
          <t>Day 6</t>
        </is>
      </c>
      <c r="B16" s="19">
        <f>COUNTIFS(Daily_Log!B:B,"Day 6",Daily_Log!G:G,"☑")</f>
        <v/>
      </c>
      <c r="C16" s="19">
        <f>COUNTIFS(Daily_Log!B:B,"Day 6",Daily_Log!G:G,"☐")+COUNTIFS(Daily_Log!B:B,"Day 6",Daily_Log!G:G,"☑")</f>
        <v/>
      </c>
      <c r="D16" s="20">
        <f>IFERROR(B16/C16,0)</f>
        <v/>
      </c>
      <c r="E16" s="11" t="n"/>
      <c r="F16" s="11" t="n"/>
      <c r="G16" s="11" t="n"/>
      <c r="H16" s="11" t="n"/>
    </row>
    <row r="17">
      <c r="A17" s="19" t="inlineStr">
        <is>
          <t>Day 7</t>
        </is>
      </c>
      <c r="B17" s="19">
        <f>COUNTIFS(Daily_Log!B:B,"Day 7",Daily_Log!G:G,"☑")</f>
        <v/>
      </c>
      <c r="C17" s="19">
        <f>COUNTIFS(Daily_Log!B:B,"Day 7",Daily_Log!G:G,"☐")+COUNTIFS(Daily_Log!B:B,"Day 7",Daily_Log!G:G,"☑")</f>
        <v/>
      </c>
      <c r="D17" s="20">
        <f>IFERROR(B17/C17,0)</f>
        <v/>
      </c>
      <c r="E17" s="11" t="n"/>
      <c r="F17" s="11" t="n"/>
      <c r="G17" s="11" t="n"/>
      <c r="H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</row>
    <row r="19">
      <c r="A19" s="2" t="inlineStr">
        <is>
          <t>Link Rule</t>
        </is>
      </c>
      <c r="H19" s="11" t="n"/>
    </row>
    <row r="20">
      <c r="A20" s="11" t="inlineStr">
        <is>
          <t>Dashboard counts tasks from Daily_Log only (☐/☑). Day1_Done~Day7_Done are evidence logs and are excluded from completion rate.</t>
        </is>
      </c>
      <c r="H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</row>
  </sheetData>
  <mergeCells count="3">
    <mergeCell ref="A20:G20"/>
    <mergeCell ref="A19:G19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zoomScale="83" zoomScaleNormal="83" workbookViewId="0">
      <selection activeCell="F37" sqref="F37"/>
    </sheetView>
  </sheetViews>
  <sheetFormatPr baseColWidth="8" defaultColWidth="9" defaultRowHeight="16.8"/>
  <cols>
    <col width="12" customWidth="1" min="1" max="1"/>
    <col width="10" customWidth="1" min="2" max="3"/>
    <col width="57.8461538461538" customWidth="1" min="4" max="4"/>
    <col width="10" customWidth="1" min="5" max="5"/>
    <col width="12" customWidth="1" min="6" max="6"/>
    <col width="8" customWidth="1" min="7" max="7"/>
    <col width="14" customWidth="1" min="8" max="8"/>
    <col width="38" customWidth="1" min="9" max="9"/>
    <col width="12" customWidth="1" min="10" max="10"/>
  </cols>
  <sheetData>
    <row r="1" ht="20.4" customHeight="1">
      <c r="A1" s="1" t="inlineStr">
        <is>
          <t>Daily Task Log (Day blocks auto-prebuilt for one week)</t>
        </is>
      </c>
    </row>
    <row r="2"/>
    <row r="3">
      <c r="A3" s="3" t="inlineStr">
        <is>
          <t>Date</t>
        </is>
      </c>
      <c r="B3" s="3" t="inlineStr">
        <is>
          <t>Day</t>
        </is>
      </c>
      <c r="C3" s="3" t="inlineStr">
        <is>
          <t>Task ID</t>
        </is>
      </c>
      <c r="D3" s="3" t="inlineStr">
        <is>
          <t>Task</t>
        </is>
      </c>
      <c r="E3" s="3" t="inlineStr">
        <is>
          <t>Priority</t>
        </is>
      </c>
      <c r="F3" s="3" t="inlineStr">
        <is>
          <t>Owner</t>
        </is>
      </c>
      <c r="G3" s="3" t="inlineStr">
        <is>
          <t>Check</t>
        </is>
      </c>
      <c r="H3" s="3" t="inlineStr">
        <is>
          <t>Status</t>
        </is>
      </c>
      <c r="I3" s="3" t="inlineStr">
        <is>
          <t>Notes</t>
        </is>
      </c>
      <c r="J3" s="3" t="inlineStr">
        <is>
          <t>Done Time</t>
        </is>
      </c>
    </row>
    <row r="4">
      <c r="A4" s="7" t="inlineStr">
        <is>
          <t>Day 1 - 2026-05-05</t>
        </is>
      </c>
      <c r="B4" s="8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2026-05-05</t>
        </is>
      </c>
      <c r="B5" s="5" t="inlineStr">
        <is>
          <t>Day 1</t>
        </is>
      </c>
      <c r="C5" s="5" t="inlineStr">
        <is>
          <t>D1-01</t>
        </is>
      </c>
      <c r="D5" s="5" t="inlineStr">
        <is>
          <t>Confirm app_list.xlsx has 14 target apps</t>
        </is>
      </c>
      <c r="E5" s="5" t="inlineStr">
        <is>
          <t>Medium</t>
        </is>
      </c>
      <c r="F5" s="5" t="inlineStr">
        <is>
          <t>William</t>
        </is>
      </c>
      <c r="G5" s="6" t="inlineStr">
        <is>
          <t>☑</t>
        </is>
      </c>
      <c r="H5" s="6" t="inlineStr">
        <is>
          <t>Done</t>
        </is>
      </c>
      <c r="I5" s="5" t="inlineStr">
        <is>
          <t>Config updated and validated</t>
        </is>
      </c>
      <c r="J5" s="5" t="inlineStr">
        <is>
          <t>14:37</t>
        </is>
      </c>
    </row>
    <row r="6">
      <c r="A6" s="5" t="inlineStr">
        <is>
          <t>2026-05-05</t>
        </is>
      </c>
      <c r="B6" s="5" t="inlineStr">
        <is>
          <t>Day 1</t>
        </is>
      </c>
      <c r="C6" s="5" t="inlineStr">
        <is>
          <t>D1-02</t>
        </is>
      </c>
      <c r="D6" s="5" t="inlineStr">
        <is>
          <t>Run 01_collect and verify outputs generated</t>
        </is>
      </c>
      <c r="E6" s="5" t="inlineStr">
        <is>
          <t>Medium</t>
        </is>
      </c>
      <c r="F6" s="5" t="inlineStr">
        <is>
          <t>William</t>
        </is>
      </c>
      <c r="G6" s="6" t="inlineStr">
        <is>
          <t>☑</t>
        </is>
      </c>
      <c r="H6" s="6" t="inlineStr">
        <is>
          <t>Done</t>
        </is>
      </c>
      <c r="I6" s="5" t="inlineStr">
        <is>
          <t>01_collect completed (14/14 apps)</t>
        </is>
      </c>
      <c r="J6" s="5" t="inlineStr">
        <is>
          <t>14:45</t>
        </is>
      </c>
    </row>
    <row r="7">
      <c r="A7" s="5" t="inlineStr">
        <is>
          <t>2026-05-05</t>
        </is>
      </c>
      <c r="B7" s="5" t="inlineStr">
        <is>
          <t>Day 1</t>
        </is>
      </c>
      <c r="C7" s="5" t="inlineStr">
        <is>
          <t>D1-03</t>
        </is>
      </c>
      <c r="D7" s="5" t="inlineStr">
        <is>
          <t>Run 02_clean and verify outputs generated</t>
        </is>
      </c>
      <c r="E7" s="5" t="inlineStr">
        <is>
          <t>Medium</t>
        </is>
      </c>
      <c r="F7" s="5" t="inlineStr">
        <is>
          <t>William</t>
        </is>
      </c>
      <c r="G7" s="6" t="inlineStr">
        <is>
          <t>☑</t>
        </is>
      </c>
      <c r="H7" s="6" t="inlineStr">
        <is>
          <t>Done</t>
        </is>
      </c>
      <c r="I7" s="5" t="inlineStr">
        <is>
          <t>02_clean completed</t>
        </is>
      </c>
      <c r="J7" s="5" t="inlineStr">
        <is>
          <t>14:55</t>
        </is>
      </c>
    </row>
    <row r="8">
      <c r="A8" s="5" t="inlineStr">
        <is>
          <t>2026-05-05</t>
        </is>
      </c>
      <c r="B8" s="5" t="inlineStr">
        <is>
          <t>Day 1</t>
        </is>
      </c>
      <c r="C8" s="5" t="inlineStr">
        <is>
          <t>D1-04</t>
        </is>
      </c>
      <c r="D8" s="5" t="inlineStr">
        <is>
          <t>Validate 14/14 app coverage and equal rows</t>
        </is>
      </c>
      <c r="E8" s="5" t="inlineStr">
        <is>
          <t>Medium</t>
        </is>
      </c>
      <c r="F8" s="5" t="inlineStr">
        <is>
          <t>William</t>
        </is>
      </c>
      <c r="G8" s="6" t="inlineStr">
        <is>
          <t>☑</t>
        </is>
      </c>
      <c r="H8" s="6" t="inlineStr">
        <is>
          <t>Done</t>
        </is>
      </c>
      <c r="I8" s="5" t="inlineStr">
        <is>
          <t>Day1 checks passed</t>
        </is>
      </c>
      <c r="J8" s="5" t="inlineStr">
        <is>
          <t>15:15</t>
        </is>
      </c>
    </row>
    <row r="9">
      <c r="A9" s="5" t="inlineStr">
        <is>
          <t>2026-05-05</t>
        </is>
      </c>
      <c r="B9" s="5" t="inlineStr">
        <is>
          <t>Day 1</t>
        </is>
      </c>
      <c r="C9" s="5" t="inlineStr">
        <is>
          <t>D1-05</t>
        </is>
      </c>
      <c r="D9" s="5" t="inlineStr">
        <is>
          <t>Record Day 1 log and key metrics</t>
        </is>
      </c>
      <c r="E9" s="5" t="inlineStr">
        <is>
          <t>Medium</t>
        </is>
      </c>
      <c r="F9" s="5" t="inlineStr">
        <is>
          <t>William</t>
        </is>
      </c>
      <c r="G9" s="6" t="inlineStr">
        <is>
          <t>☑</t>
        </is>
      </c>
      <c r="H9" s="6" t="inlineStr">
        <is>
          <t>Done</t>
        </is>
      </c>
      <c r="I9" s="5" t="inlineStr">
        <is>
          <t>Daily markdown log written</t>
        </is>
      </c>
      <c r="J9" s="5" t="inlineStr">
        <is>
          <t>15:17</t>
        </is>
      </c>
    </row>
    <row r="10">
      <c r="A10" s="5" t="inlineStr">
        <is>
          <t>2026-05-05</t>
        </is>
      </c>
      <c r="B10" s="5" t="inlineStr">
        <is>
          <t>Day 1</t>
        </is>
      </c>
      <c r="C10" s="5" t="inlineStr">
        <is>
          <t>D1-06</t>
        </is>
      </c>
      <c r="D10" s="5" t="inlineStr">
        <is>
          <t>Write daily summary and blockers</t>
        </is>
      </c>
      <c r="E10" s="5" t="inlineStr">
        <is>
          <t>Medium</t>
        </is>
      </c>
      <c r="F10" s="5" t="inlineStr">
        <is>
          <t>William</t>
        </is>
      </c>
      <c r="G10" s="6" t="inlineStr">
        <is>
          <t>☑</t>
        </is>
      </c>
      <c r="H10" s="6" t="inlineStr">
        <is>
          <t>Done</t>
        </is>
      </c>
      <c r="I10" s="5" t="inlineStr">
        <is>
          <t>Day 1 summary and blockers recorded</t>
        </is>
      </c>
      <c r="J10" s="5" t="inlineStr">
        <is>
          <t>15:55</t>
        </is>
      </c>
    </row>
    <row r="11">
      <c r="A11" s="7" t="inlineStr">
        <is>
          <t>Day 2 - 2026-05-06</t>
        </is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9" t="n"/>
    </row>
    <row r="12">
      <c r="A12" s="5" t="inlineStr">
        <is>
          <t>2026-05-06</t>
        </is>
      </c>
      <c r="B12" s="5" t="inlineStr">
        <is>
          <t>Day 2</t>
        </is>
      </c>
      <c r="C12" s="5" t="inlineStr">
        <is>
          <t>D2-01</t>
        </is>
      </c>
      <c r="D12" s="5" t="inlineStr">
        <is>
          <t>Build app-level base metrics table (avg/positive/low-star)</t>
        </is>
      </c>
      <c r="E12" s="5" t="inlineStr">
        <is>
          <t>Medium</t>
        </is>
      </c>
      <c r="F12" s="5" t="inlineStr">
        <is>
          <t>William</t>
        </is>
      </c>
      <c r="G12" s="6" t="inlineStr">
        <is>
          <t>☑</t>
        </is>
      </c>
      <c r="H12" s="6" t="inlineStr">
        <is>
          <t>Done</t>
        </is>
      </c>
      <c r="I12" s="5" t="inlineStr">
        <is>
          <t>app_base_metrics.csv + scripts/06_insights/build_app_base_metrics.py</t>
        </is>
      </c>
      <c r="J12" s="5" t="inlineStr">
        <is>
          <t>20:32</t>
        </is>
      </c>
    </row>
    <row r="13">
      <c r="A13" s="5" t="inlineStr">
        <is>
          <t>2026-05-06</t>
        </is>
      </c>
      <c r="B13" s="5" t="inlineStr">
        <is>
          <t>Day 2</t>
        </is>
      </c>
      <c r="C13" s="5" t="inlineStr">
        <is>
          <t>D2-02</t>
        </is>
      </c>
      <c r="D13" s="5" t="inlineStr">
        <is>
          <t>Compute Bayesian adjusted rating and confidence</t>
        </is>
      </c>
      <c r="E13" s="5" t="inlineStr">
        <is>
          <t>Medium</t>
        </is>
      </c>
      <c r="F13" s="5" t="inlineStr">
        <is>
          <t>William</t>
        </is>
      </c>
      <c r="G13" s="6" t="inlineStr">
        <is>
          <t>☑</t>
        </is>
      </c>
      <c r="H13" s="6" t="inlineStr">
        <is>
          <t>Done</t>
        </is>
      </c>
      <c r="I13" s="5" t="inlineStr">
        <is>
          <t>config/metrics.json + bayesian in build_health_score.py</t>
        </is>
      </c>
      <c r="J13" s="5" t="inlineStr">
        <is>
          <t>20:32</t>
        </is>
      </c>
    </row>
    <row r="14">
      <c r="A14" s="5" t="inlineStr">
        <is>
          <t>2026-05-06</t>
        </is>
      </c>
      <c r="B14" s="5" t="inlineStr">
        <is>
          <t>Day 2</t>
        </is>
      </c>
      <c r="C14" s="5" t="inlineStr">
        <is>
          <t>D2-03</t>
        </is>
      </c>
      <c r="D14" s="5" t="inlineStr">
        <is>
          <t>Implement momentum (period change or 8w slope)</t>
        </is>
      </c>
      <c r="E14" s="5" t="inlineStr">
        <is>
          <t>Medium</t>
        </is>
      </c>
      <c r="F14" s="5" t="inlineStr">
        <is>
          <t>William</t>
        </is>
      </c>
      <c r="G14" s="6" t="inlineStr">
        <is>
          <t>☑</t>
        </is>
      </c>
      <c r="H14" s="6" t="inlineStr">
        <is>
          <t>Done</t>
        </is>
      </c>
      <c r="I14" s="5" t="inlineStr">
        <is>
          <t>build_health_score.py momentum</t>
        </is>
      </c>
      <c r="J14" s="5" t="inlineStr">
        <is>
          <t>20:32</t>
        </is>
      </c>
    </row>
    <row r="15">
      <c r="A15" s="5" t="inlineStr">
        <is>
          <t>2026-05-06</t>
        </is>
      </c>
      <c r="B15" s="5" t="inlineStr">
        <is>
          <t>Day 2</t>
        </is>
      </c>
      <c r="C15" s="5" t="inlineStr">
        <is>
          <t>D2-04</t>
        </is>
      </c>
      <c r="D15" s="5" t="inlineStr">
        <is>
          <t>Calculate app health score table for 14 apps</t>
        </is>
      </c>
      <c r="E15" s="5" t="inlineStr">
        <is>
          <t>Medium</t>
        </is>
      </c>
      <c r="F15" s="5" t="inlineStr">
        <is>
          <t>William</t>
        </is>
      </c>
      <c r="G15" s="6" t="inlineStr">
        <is>
          <t>☑</t>
        </is>
      </c>
      <c r="H15" s="6" t="inlineStr">
        <is>
          <t>Done</t>
        </is>
      </c>
      <c r="I15" s="5" t="inlineStr">
        <is>
          <t>build_health_score.py</t>
        </is>
      </c>
      <c r="J15" s="5" t="inlineStr">
        <is>
          <t>20:32</t>
        </is>
      </c>
    </row>
    <row r="16">
      <c r="A16" s="5" t="inlineStr">
        <is>
          <t>2026-05-06</t>
        </is>
      </c>
      <c r="B16" s="5" t="inlineStr">
        <is>
          <t>Day 2</t>
        </is>
      </c>
      <c r="C16" s="5" t="inlineStr">
        <is>
          <t>D2-05</t>
        </is>
      </c>
      <c r="D16" s="5" t="inlineStr">
        <is>
          <t>Export app_health_score.csv and sanity-check ranking</t>
        </is>
      </c>
      <c r="E16" s="5" t="inlineStr">
        <is>
          <t>Medium</t>
        </is>
      </c>
      <c r="F16" s="5" t="inlineStr">
        <is>
          <t>William</t>
        </is>
      </c>
      <c r="G16" s="6" t="inlineStr">
        <is>
          <t>☑</t>
        </is>
      </c>
      <c r="H16" s="6" t="inlineStr">
        <is>
          <t>Done</t>
        </is>
      </c>
      <c r="I16" s="5" t="inlineStr">
        <is>
          <t>reports/tables/app_health_score.csv + verify OK</t>
        </is>
      </c>
      <c r="J16" s="5" t="inlineStr">
        <is>
          <t>20:32</t>
        </is>
      </c>
    </row>
    <row r="17">
      <c r="A17" s="5" t="inlineStr">
        <is>
          <t>2026-05-06</t>
        </is>
      </c>
      <c r="B17" s="5" t="inlineStr">
        <is>
          <t>Day 2</t>
        </is>
      </c>
      <c r="C17" s="5" t="inlineStr">
        <is>
          <t>D2-06</t>
        </is>
      </c>
      <c r="D17" s="5" t="inlineStr">
        <is>
          <t>Write Day 2 summary and blockers</t>
        </is>
      </c>
      <c r="E17" s="5" t="inlineStr">
        <is>
          <t>Medium</t>
        </is>
      </c>
      <c r="F17" s="5" t="inlineStr">
        <is>
          <t>William</t>
        </is>
      </c>
      <c r="G17" s="6" t="inlineStr">
        <is>
          <t>☑</t>
        </is>
      </c>
      <c r="H17" s="6" t="inlineStr">
        <is>
          <t>Done</t>
        </is>
      </c>
      <c r="I17" s="5" t="inlineStr">
        <is>
          <t>day2_2026-05-06.md</t>
        </is>
      </c>
      <c r="J17" s="5" t="inlineStr">
        <is>
          <t>20:32</t>
        </is>
      </c>
    </row>
    <row r="18">
      <c r="A18" s="7" t="inlineStr">
        <is>
          <t>Day 3 - 2026-05-07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9" t="n"/>
    </row>
    <row r="19">
      <c r="A19" s="5" t="inlineStr">
        <is>
          <t>2026-05-07</t>
        </is>
      </c>
      <c r="B19" s="5" t="inlineStr">
        <is>
          <t>Day 3</t>
        </is>
      </c>
      <c r="C19" s="5" t="inlineStr">
        <is>
          <t>D3-01</t>
        </is>
      </c>
      <c r="D19" s="5" t="inlineStr">
        <is>
          <t>Create app-level benchmark outputs (BQ2)</t>
        </is>
      </c>
      <c r="E19" s="5" t="inlineStr">
        <is>
          <t>Medium</t>
        </is>
      </c>
      <c r="F19" s="5" t="inlineStr">
        <is>
          <t>William</t>
        </is>
      </c>
      <c r="G19" s="6" t="inlineStr">
        <is>
          <t>☑</t>
        </is>
      </c>
      <c r="H19" s="6" t="inlineStr">
        <is>
          <t>Done</t>
        </is>
      </c>
      <c r="I19" s="5" t="inlineStr">
        <is>
          <t>reports/tables/app_benchmark_bq2.csv</t>
        </is>
      </c>
      <c r="J19" s="5" t="inlineStr">
        <is>
          <t>20:48</t>
        </is>
      </c>
    </row>
    <row r="20">
      <c r="A20" s="5" t="inlineStr">
        <is>
          <t>2026-05-07</t>
        </is>
      </c>
      <c r="B20" s="5" t="inlineStr">
        <is>
          <t>Day 3</t>
        </is>
      </c>
      <c r="C20" s="5" t="inlineStr">
        <is>
          <t>D3-02</t>
        </is>
      </c>
      <c r="D20" s="5" t="inlineStr">
        <is>
          <t>Create publisher-level benchmark outputs</t>
        </is>
      </c>
      <c r="E20" s="5" t="inlineStr">
        <is>
          <t>Medium</t>
        </is>
      </c>
      <c r="F20" s="5" t="inlineStr">
        <is>
          <t>William</t>
        </is>
      </c>
      <c r="G20" s="6" t="inlineStr">
        <is>
          <t>☑</t>
        </is>
      </c>
      <c r="H20" s="6" t="inlineStr">
        <is>
          <t>Done</t>
        </is>
      </c>
      <c r="I20" s="5" t="inlineStr">
        <is>
          <t>reports/tables/publisher_benchmark.csv</t>
        </is>
      </c>
      <c r="J20" s="5" t="inlineStr">
        <is>
          <t>20:48</t>
        </is>
      </c>
    </row>
    <row r="21">
      <c r="A21" s="5" t="inlineStr">
        <is>
          <t>2026-05-07</t>
        </is>
      </c>
      <c r="B21" s="5" t="inlineStr">
        <is>
          <t>Day 3</t>
        </is>
      </c>
      <c r="C21" s="5" t="inlineStr">
        <is>
          <t>D3-03</t>
        </is>
      </c>
      <c r="D21" s="5" t="inlineStr">
        <is>
          <t>Create flagship 7-app benchmark view</t>
        </is>
      </c>
      <c r="E21" s="5" t="inlineStr">
        <is>
          <t>Medium</t>
        </is>
      </c>
      <c r="F21" s="5" t="inlineStr">
        <is>
          <t>William</t>
        </is>
      </c>
      <c r="G21" s="6" t="inlineStr">
        <is>
          <t>☑</t>
        </is>
      </c>
      <c r="H21" s="6" t="inlineStr">
        <is>
          <t>Done</t>
        </is>
      </c>
      <c r="I21" s="5" t="inlineStr">
        <is>
          <t>reports/tables/flagship_7_benchmark.csv</t>
        </is>
      </c>
      <c r="J21" s="5" t="inlineStr">
        <is>
          <t>20:48</t>
        </is>
      </c>
    </row>
    <row r="22">
      <c r="A22" s="5" t="inlineStr">
        <is>
          <t>2026-05-07</t>
        </is>
      </c>
      <c r="B22" s="5" t="inlineStr">
        <is>
          <t>Day 3</t>
        </is>
      </c>
      <c r="C22" s="5" t="inlineStr">
        <is>
          <t>D3-04</t>
        </is>
      </c>
      <c r="D22" s="5" t="inlineStr">
        <is>
          <t>Build volume vs rating scatter source table</t>
        </is>
      </c>
      <c r="E22" s="5" t="inlineStr">
        <is>
          <t>Medium</t>
        </is>
      </c>
      <c r="F22" s="5" t="inlineStr">
        <is>
          <t>William</t>
        </is>
      </c>
      <c r="G22" s="6" t="inlineStr">
        <is>
          <t>☑</t>
        </is>
      </c>
      <c r="H22" s="6" t="inlineStr">
        <is>
          <t>Done</t>
        </is>
      </c>
      <c r="I22" s="5" t="inlineStr">
        <is>
          <t>reports/tables/volume_vs_rating_scatter.csv</t>
        </is>
      </c>
      <c r="J22" s="5" t="inlineStr">
        <is>
          <t>20:48</t>
        </is>
      </c>
    </row>
    <row r="23">
      <c r="A23" s="5" t="inlineStr">
        <is>
          <t>2026-05-07</t>
        </is>
      </c>
      <c r="B23" s="5" t="inlineStr">
        <is>
          <t>Day 3</t>
        </is>
      </c>
      <c r="C23" s="5" t="inlineStr">
        <is>
          <t>D3-05</t>
        </is>
      </c>
      <c r="D23" s="5" t="inlineStr">
        <is>
          <t>Draft Page 2 competitor findings bullets</t>
        </is>
      </c>
      <c r="E23" s="5" t="inlineStr">
        <is>
          <t>Medium</t>
        </is>
      </c>
      <c r="F23" s="5" t="inlineStr">
        <is>
          <t>William</t>
        </is>
      </c>
      <c r="G23" s="6" t="inlineStr">
        <is>
          <t>☑</t>
        </is>
      </c>
      <c r="H23" s="6" t="inlineStr">
        <is>
          <t>Done</t>
        </is>
      </c>
      <c r="I23" s="5" t="inlineStr">
        <is>
          <t>reports/page2_competitor_findings_draft.md</t>
        </is>
      </c>
      <c r="J23" s="5" t="inlineStr">
        <is>
          <t>20:48</t>
        </is>
      </c>
    </row>
    <row r="24">
      <c r="A24" s="5" t="inlineStr">
        <is>
          <t>2026-05-07</t>
        </is>
      </c>
      <c r="B24" s="5" t="inlineStr">
        <is>
          <t>Day 3</t>
        </is>
      </c>
      <c r="C24" s="5" t="inlineStr">
        <is>
          <t>D3-06</t>
        </is>
      </c>
      <c r="D24" s="5" t="inlineStr">
        <is>
          <t>Write Day 3 summary and blockers</t>
        </is>
      </c>
      <c r="E24" s="5" t="inlineStr">
        <is>
          <t>Medium</t>
        </is>
      </c>
      <c r="F24" s="5" t="inlineStr">
        <is>
          <t>William</t>
        </is>
      </c>
      <c r="G24" s="6" t="inlineStr">
        <is>
          <t>☑</t>
        </is>
      </c>
      <c r="H24" s="6" t="inlineStr">
        <is>
          <t>Done</t>
        </is>
      </c>
      <c r="I24" s="5" t="inlineStr">
        <is>
          <t>day3_2026-05-07.md + tracker</t>
        </is>
      </c>
      <c r="J24" s="5" t="inlineStr">
        <is>
          <t>20:48</t>
        </is>
      </c>
    </row>
    <row r="25">
      <c r="A25" s="7" t="inlineStr">
        <is>
          <t>Day 4 - 2026-05-27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9" t="n"/>
    </row>
    <row r="26">
      <c r="A26" s="5" t="inlineStr">
        <is>
          <t>2026-05-27</t>
        </is>
      </c>
      <c r="B26" s="5" t="inlineStr">
        <is>
          <t>Day 4</t>
        </is>
      </c>
      <c r="C26" s="5" t="inlineStr">
        <is>
          <t>D4-01</t>
        </is>
      </c>
      <c r="D26" s="5" t="inlineStr">
        <is>
          <t>Create themes.yml v1 dictionary</t>
        </is>
      </c>
      <c r="E26" s="5" t="inlineStr">
        <is>
          <t>Medium</t>
        </is>
      </c>
      <c r="F26" s="5" t="inlineStr">
        <is>
          <t>William</t>
        </is>
      </c>
      <c r="G26" s="6" t="inlineStr">
        <is>
          <t>☑</t>
        </is>
      </c>
      <c r="H26" s="6" t="inlineStr">
        <is>
          <t>Done</t>
        </is>
      </c>
      <c r="I26" s="5" t="inlineStr">
        <is>
          <t>themes.yml v2 (18 themes, 13 neg + 5 pos, exclude rules)</t>
        </is>
      </c>
      <c r="J26" s="5" t="inlineStr">
        <is>
          <t>19:30</t>
        </is>
      </c>
    </row>
    <row r="27">
      <c r="A27" s="5" t="inlineStr">
        <is>
          <t>2026-05-27</t>
        </is>
      </c>
      <c r="B27" s="5" t="inlineStr">
        <is>
          <t>Day 4</t>
        </is>
      </c>
      <c r="C27" s="5" t="inlineStr">
        <is>
          <t>D4-02</t>
        </is>
      </c>
      <c r="D27" s="5" t="inlineStr">
        <is>
          <t>Run rule-based multi-label theme tagging</t>
        </is>
      </c>
      <c r="E27" s="5" t="inlineStr">
        <is>
          <t>Medium</t>
        </is>
      </c>
      <c r="F27" s="5" t="inlineStr">
        <is>
          <t>William</t>
        </is>
      </c>
      <c r="G27" s="6" t="inlineStr">
        <is>
          <t>☑</t>
        </is>
      </c>
      <c r="H27" s="6" t="inlineStr">
        <is>
          <t>Done</t>
        </is>
      </c>
      <c r="I27" s="5" t="inlineStr">
        <is>
          <t>scripts/06_insights/build_review_themes.py</t>
        </is>
      </c>
      <c r="J27" s="5" t="inlineStr">
        <is>
          <t>19:32</t>
        </is>
      </c>
    </row>
    <row r="28">
      <c r="A28" s="5" t="inlineStr">
        <is>
          <t>2026-05-27</t>
        </is>
      </c>
      <c r="B28" s="5" t="inlineStr">
        <is>
          <t>Day 4</t>
        </is>
      </c>
      <c r="C28" s="5" t="inlineStr">
        <is>
          <t>D4-03</t>
        </is>
      </c>
      <c r="D28" s="5" t="inlineStr">
        <is>
          <t>Export reviews_with_themes dataset</t>
        </is>
      </c>
      <c r="E28" s="5" t="inlineStr">
        <is>
          <t>Medium</t>
        </is>
      </c>
      <c r="F28" s="5" t="inlineStr">
        <is>
          <t>William</t>
        </is>
      </c>
      <c r="G28" s="6" t="inlineStr">
        <is>
          <t>☑</t>
        </is>
      </c>
      <c r="H28" s="6" t="inlineStr">
        <is>
          <t>Done</t>
        </is>
      </c>
      <c r="I28" s="5" t="inlineStr">
        <is>
          <t>reviews_with_themes.csv (10940 rows; coverage 45.2%)</t>
        </is>
      </c>
      <c r="J28" s="5" t="inlineStr">
        <is>
          <t>19:32</t>
        </is>
      </c>
    </row>
    <row r="29">
      <c r="A29" s="5" t="inlineStr">
        <is>
          <t>2026-05-27</t>
        </is>
      </c>
      <c r="B29" s="5" t="inlineStr">
        <is>
          <t>Day 4</t>
        </is>
      </c>
      <c r="C29" s="5" t="inlineStr">
        <is>
          <t>D4-04</t>
        </is>
      </c>
      <c r="D29" s="5" t="inlineStr">
        <is>
          <t>Compute low-star and positive theme rankings</t>
        </is>
      </c>
      <c r="E29" s="5" t="inlineStr">
        <is>
          <t>Medium</t>
        </is>
      </c>
      <c r="F29" s="5" t="inlineStr">
        <is>
          <t>William</t>
        </is>
      </c>
      <c r="G29" s="6" t="inlineStr">
        <is>
          <t>☑</t>
        </is>
      </c>
      <c r="H29" s="6" t="inlineStr">
        <is>
          <t>Done</t>
        </is>
      </c>
      <c r="I29" s="5" t="inlineStr">
        <is>
          <t>theme_summary_overall/by_app + low_star_theme_summary</t>
        </is>
      </c>
      <c r="J29" s="5" t="inlineStr">
        <is>
          <t>19:33</t>
        </is>
      </c>
    </row>
    <row r="30">
      <c r="A30" s="5" t="inlineStr">
        <is>
          <t>2026-05-27</t>
        </is>
      </c>
      <c r="B30" s="5" t="inlineStr">
        <is>
          <t>Day 4</t>
        </is>
      </c>
      <c r="C30" s="5" t="inlineStr">
        <is>
          <t>D4-05</t>
        </is>
      </c>
      <c r="D30" s="5" t="inlineStr">
        <is>
          <t>Run quick manual QA on theme hits and refine once</t>
        </is>
      </c>
      <c r="E30" s="5" t="inlineStr">
        <is>
          <t>Medium</t>
        </is>
      </c>
      <c r="F30" s="5" t="inlineStr">
        <is>
          <t>William</t>
        </is>
      </c>
      <c r="G30" s="6" t="inlineStr">
        <is>
          <t>☑</t>
        </is>
      </c>
      <c r="H30" s="6" t="inlineStr">
        <is>
          <t>Done</t>
        </is>
      </c>
      <c r="I30" s="5" t="inlineStr">
        <is>
          <t>v1→v2: Fun FP 462→382; Difficulty 29→113; Account→3</t>
        </is>
      </c>
      <c r="J30" s="5" t="inlineStr">
        <is>
          <t>19:35</t>
        </is>
      </c>
    </row>
    <row r="31">
      <c r="A31" s="5" t="inlineStr">
        <is>
          <t>2026-05-27</t>
        </is>
      </c>
      <c r="B31" s="5" t="inlineStr">
        <is>
          <t>Day 4</t>
        </is>
      </c>
      <c r="C31" s="5" t="inlineStr">
        <is>
          <t>D4-06</t>
        </is>
      </c>
      <c r="D31" s="5" t="inlineStr">
        <is>
          <t>Write Day 4 summary and blockers</t>
        </is>
      </c>
      <c r="E31" s="5" t="inlineStr">
        <is>
          <t>Medium</t>
        </is>
      </c>
      <c r="F31" s="5" t="inlineStr">
        <is>
          <t>William</t>
        </is>
      </c>
      <c r="G31" s="6" t="inlineStr">
        <is>
          <t>☑</t>
        </is>
      </c>
      <c r="H31" s="6" t="inlineStr">
        <is>
          <t>Done</t>
        </is>
      </c>
      <c r="I31" s="5" t="inlineStr">
        <is>
          <t>docs/daily_logs/day4_2026-05-27.md</t>
        </is>
      </c>
      <c r="J31" s="5" t="inlineStr">
        <is>
          <t>19:40</t>
        </is>
      </c>
    </row>
    <row r="32">
      <c r="A32" t="inlineStr">
        <is>
          <t>2026-05-27</t>
        </is>
      </c>
      <c r="B32" t="inlineStr">
        <is>
          <t>Day 4</t>
        </is>
      </c>
      <c r="C32" t="inlineStr">
        <is>
          <t>D4-07</t>
        </is>
      </c>
      <c r="D32" t="inlineStr">
        <is>
          <t>Manual theme validation sample review</t>
        </is>
      </c>
      <c r="E32" t="inlineStr">
        <is>
          <t>High</t>
        </is>
      </c>
      <c r="F32" t="inlineStr">
        <is>
          <t>William</t>
        </is>
      </c>
      <c r="G32" t="inlineStr">
        <is>
          <t>☒</t>
        </is>
      </c>
      <c r="H32" t="inlineStr">
        <is>
          <t>Cancelled</t>
        </is>
      </c>
      <c r="I32" t="inlineStr">
        <is>
          <t>v1→v2 self-check already shipped on Day 4; second manual pass deferred to Phase 2 (LLM-assisted)</t>
        </is>
      </c>
      <c r="J32" t="inlineStr">
        <is>
          <t>-</t>
        </is>
      </c>
    </row>
    <row r="33">
      <c r="A33" s="7" t="inlineStr">
        <is>
          <t>Day 5 - 2026-05-27</t>
        </is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9" t="n"/>
    </row>
    <row r="34">
      <c r="A34" s="5" t="inlineStr">
        <is>
          <t>2026-05-27</t>
        </is>
      </c>
      <c r="B34" s="5" t="inlineStr">
        <is>
          <t>Day 5</t>
        </is>
      </c>
      <c r="C34" s="5" t="inlineStr">
        <is>
          <t>D5-01</t>
        </is>
      </c>
      <c r="D34" s="5" t="inlineStr">
        <is>
          <t>Compute Frequency/Impact/Severity by theme</t>
        </is>
      </c>
      <c r="E34" s="5" t="inlineStr">
        <is>
          <t>Medium</t>
        </is>
      </c>
      <c r="F34" s="5" t="inlineStr">
        <is>
          <t>William</t>
        </is>
      </c>
      <c r="G34" s="6" t="inlineStr">
        <is>
          <t>☑</t>
        </is>
      </c>
      <c r="H34" s="6" t="inlineStr">
        <is>
          <t>Done</t>
        </is>
      </c>
      <c r="I34" s="5" t="inlineStr">
        <is>
          <t>frequency/impact/severity from theme_summary_overall.csv</t>
        </is>
      </c>
      <c r="J34" s="5" t="inlineStr">
        <is>
          <t>21:20</t>
        </is>
      </c>
    </row>
    <row r="35">
      <c r="A35" s="5" t="inlineStr">
        <is>
          <t>2026-05-27</t>
        </is>
      </c>
      <c r="B35" s="5" t="inlineStr">
        <is>
          <t>Day 5</t>
        </is>
      </c>
      <c r="C35" s="5" t="inlineStr">
        <is>
          <t>D5-02</t>
        </is>
      </c>
      <c r="D35" s="5" t="inlineStr">
        <is>
          <t>Calculate Priority Score and map P0-P3</t>
        </is>
      </c>
      <c r="E35" s="5" t="inlineStr">
        <is>
          <t>Medium</t>
        </is>
      </c>
      <c r="F35" s="5" t="inlineStr">
        <is>
          <t>William</t>
        </is>
      </c>
      <c r="G35" s="6" t="inlineStr">
        <is>
          <t>☑</t>
        </is>
      </c>
      <c r="H35" s="6" t="inlineStr">
        <is>
          <t>Done</t>
        </is>
      </c>
      <c r="I35" s="5" t="inlineStr">
        <is>
          <t>priority score + P0-P3 from quantile buckets + critical flag</t>
        </is>
      </c>
      <c r="J35" s="5" t="inlineStr">
        <is>
          <t>21:20</t>
        </is>
      </c>
    </row>
    <row r="36">
      <c r="A36" s="5" t="inlineStr">
        <is>
          <t>2026-05-27</t>
        </is>
      </c>
      <c r="B36" s="5" t="inlineStr">
        <is>
          <t>Day 5</t>
        </is>
      </c>
      <c r="C36" s="5" t="inlineStr">
        <is>
          <t>D5-03</t>
        </is>
      </c>
      <c r="D36" s="5" t="inlineStr">
        <is>
          <t>Build recommendation_matrix table</t>
        </is>
      </c>
      <c r="E36" s="5" t="inlineStr">
        <is>
          <t>Medium</t>
        </is>
      </c>
      <c r="F36" s="5" t="inlineStr">
        <is>
          <t>William</t>
        </is>
      </c>
      <c r="G36" s="6" t="inlineStr">
        <is>
          <t>☑</t>
        </is>
      </c>
      <c r="H36" s="6" t="inlineStr">
        <is>
          <t>Done</t>
        </is>
      </c>
      <c r="I36" s="5" t="inlineStr">
        <is>
          <t>reports/tables/recommendation_matrix.csv</t>
        </is>
      </c>
      <c r="J36" s="5" t="inlineStr">
        <is>
          <t>21:21</t>
        </is>
      </c>
    </row>
    <row r="37">
      <c r="A37" s="5" t="inlineStr">
        <is>
          <t>2026-05-27</t>
        </is>
      </c>
      <c r="B37" s="5" t="inlineStr">
        <is>
          <t>Day 5</t>
        </is>
      </c>
      <c r="C37" s="5" t="inlineStr">
        <is>
          <t>D5-04</t>
        </is>
      </c>
      <c r="D37" s="5" t="inlineStr">
        <is>
          <t>Draft BQ5 product recommendations</t>
        </is>
      </c>
      <c r="E37" s="5" t="inlineStr">
        <is>
          <t>Medium</t>
        </is>
      </c>
      <c r="F37" s="5" t="inlineStr">
        <is>
          <t>William</t>
        </is>
      </c>
      <c r="G37" s="6" t="inlineStr">
        <is>
          <t>☑</t>
        </is>
      </c>
      <c r="H37" s="6" t="inlineStr">
        <is>
          <t>Done</t>
        </is>
      </c>
      <c r="I37" s="5" t="inlineStr">
        <is>
          <t>day5_2026-05-27.md business recommendations section</t>
        </is>
      </c>
      <c r="J37" s="5" t="inlineStr">
        <is>
          <t>21:22</t>
        </is>
      </c>
    </row>
    <row r="38">
      <c r="A38" s="5" t="inlineStr">
        <is>
          <t>2026-05-27</t>
        </is>
      </c>
      <c r="B38" s="5" t="inlineStr">
        <is>
          <t>Day 5</t>
        </is>
      </c>
      <c r="C38" s="5" t="inlineStr">
        <is>
          <t>D5-05</t>
        </is>
      </c>
      <c r="D38" s="5" t="inlineStr">
        <is>
          <t>Prepare Page 4 recommendation source data</t>
        </is>
      </c>
      <c r="E38" s="5" t="inlineStr">
        <is>
          <t>Medium</t>
        </is>
      </c>
      <c r="F38" s="5" t="inlineStr">
        <is>
          <t>William</t>
        </is>
      </c>
      <c r="G38" s="6" t="inlineStr">
        <is>
          <t>☑</t>
        </is>
      </c>
      <c r="H38" s="6" t="inlineStr">
        <is>
          <t>Done</t>
        </is>
      </c>
      <c r="I38" s="5" t="inlineStr">
        <is>
          <t>theme_priority_score.csv + theme_priority_by_app.csv</t>
        </is>
      </c>
      <c r="J38" s="5" t="inlineStr">
        <is>
          <t>21:21</t>
        </is>
      </c>
    </row>
    <row r="39">
      <c r="A39" s="5" t="inlineStr">
        <is>
          <t>2026-05-27</t>
        </is>
      </c>
      <c r="B39" t="inlineStr">
        <is>
          <t>Day 5</t>
        </is>
      </c>
      <c r="C39" t="inlineStr">
        <is>
          <t>D5-06</t>
        </is>
      </c>
      <c r="D39" t="inlineStr">
        <is>
          <t>Write Day 5 summary and blockers</t>
        </is>
      </c>
      <c r="E39" t="inlineStr">
        <is>
          <t>Medium</t>
        </is>
      </c>
      <c r="F39" t="inlineStr">
        <is>
          <t>William</t>
        </is>
      </c>
      <c r="G39" t="inlineStr">
        <is>
          <t>☑</t>
        </is>
      </c>
      <c r="H39" t="inlineStr">
        <is>
          <t>Done</t>
        </is>
      </c>
      <c r="I39" t="inlineStr">
        <is>
          <t>docs/daily_logs/day5_2026-05-27.md</t>
        </is>
      </c>
      <c r="J39" t="inlineStr">
        <is>
          <t>21:22</t>
        </is>
      </c>
    </row>
    <row r="40">
      <c r="A40" t="inlineStr">
        <is>
          <t>2026-05-27</t>
        </is>
      </c>
      <c r="B40" t="inlineStr">
        <is>
          <t>Day 5</t>
        </is>
      </c>
      <c r="C40" t="inlineStr">
        <is>
          <t>D5-07</t>
        </is>
      </c>
      <c r="D40" t="inlineStr">
        <is>
          <t>Prepare Power BI source tables and relationship plan</t>
        </is>
      </c>
      <c r="E40" t="inlineStr">
        <is>
          <t>High</t>
        </is>
      </c>
      <c r="F40" t="inlineStr">
        <is>
          <t>William</t>
        </is>
      </c>
      <c r="G40" t="inlineStr">
        <is>
          <t>☑</t>
        </is>
      </c>
      <c r="H40" t="inlineStr">
        <is>
          <t>Done</t>
        </is>
      </c>
      <c r="I40" t="inlineStr">
        <is>
          <t>Power BI source tables + relationship note generated</t>
        </is>
      </c>
      <c r="J40" t="inlineStr">
        <is>
          <t>21:23</t>
        </is>
      </c>
    </row>
    <row r="41">
      <c r="A41" s="7" t="inlineStr">
        <is>
          <t>Day 6 - 2026-05-28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9" t="n"/>
    </row>
    <row r="42">
      <c r="A42" s="5" t="inlineStr">
        <is>
          <t>2026-05-28</t>
        </is>
      </c>
      <c r="B42" s="5" t="inlineStr">
        <is>
          <t>Day 6</t>
        </is>
      </c>
      <c r="C42" s="5" t="inlineStr">
        <is>
          <t>D6-01</t>
        </is>
      </c>
      <c r="D42" s="5" t="inlineStr">
        <is>
          <t>Build Dashboard Page 1 (Executive Overview)</t>
        </is>
      </c>
      <c r="E42" s="5" t="inlineStr">
        <is>
          <t>Medium</t>
        </is>
      </c>
      <c r="F42" s="5" t="inlineStr">
        <is>
          <t>William</t>
        </is>
      </c>
      <c r="G42" s="6" t="inlineStr">
        <is>
          <t>☑</t>
        </is>
      </c>
      <c r="H42" s="6" t="inlineStr">
        <is>
          <t>Done</t>
        </is>
      </c>
      <c r="I42" s="5" t="inlineStr">
        <is>
          <t>Tableau Page 1 built in Mobile_Game_Satisfaction_Tableau.twbx (Executive Overview).</t>
        </is>
      </c>
      <c r="J42" s="5" t="inlineStr">
        <is>
          <t>03:21</t>
        </is>
      </c>
    </row>
    <row r="43">
      <c r="A43" s="5" t="inlineStr">
        <is>
          <t>2026-05-28</t>
        </is>
      </c>
      <c r="B43" s="5" t="inlineStr">
        <is>
          <t>Day 6</t>
        </is>
      </c>
      <c r="C43" s="5" t="inlineStr">
        <is>
          <t>D6-02</t>
        </is>
      </c>
      <c r="D43" s="5" t="inlineStr">
        <is>
          <t>Build Dashboard Page 2 (Competitor Benchmarking)</t>
        </is>
      </c>
      <c r="E43" s="5" t="inlineStr">
        <is>
          <t>Medium</t>
        </is>
      </c>
      <c r="F43" s="5" t="inlineStr">
        <is>
          <t>William</t>
        </is>
      </c>
      <c r="G43" s="6" t="inlineStr">
        <is>
          <t>☑</t>
        </is>
      </c>
      <c r="H43" s="6" t="inlineStr">
        <is>
          <t>Done</t>
        </is>
      </c>
      <c r="I43" s="5" t="inlineStr">
        <is>
          <t>Tableau Page 2 built in Mobile_Game_Satisfaction_Tableau.twbx (Competitor Benchmark).</t>
        </is>
      </c>
      <c r="J43" s="5" t="inlineStr">
        <is>
          <t>03:21</t>
        </is>
      </c>
    </row>
    <row r="44">
      <c r="A44" s="5" t="inlineStr">
        <is>
          <t>2026-05-28</t>
        </is>
      </c>
      <c r="B44" s="5" t="inlineStr">
        <is>
          <t>Day 6</t>
        </is>
      </c>
      <c r="C44" s="5" t="inlineStr">
        <is>
          <t>D6-03</t>
        </is>
      </c>
      <c r="D44" s="5" t="inlineStr">
        <is>
          <t>Build Dashboard Page 3 (Pain Point/Positive Driver)</t>
        </is>
      </c>
      <c r="E44" s="5" t="inlineStr">
        <is>
          <t>Medium</t>
        </is>
      </c>
      <c r="F44" s="5" t="inlineStr">
        <is>
          <t>William</t>
        </is>
      </c>
      <c r="G44" s="6" t="inlineStr">
        <is>
          <t>☑</t>
        </is>
      </c>
      <c r="H44" s="6" t="inlineStr">
        <is>
          <t>Done</t>
        </is>
      </c>
      <c r="I44" s="5" t="inlineStr">
        <is>
          <t>Tableau Page 3 built in Mobile_Game_Satisfaction_Tableau.twbx (Theme Insights).</t>
        </is>
      </c>
      <c r="J44" s="5" t="inlineStr">
        <is>
          <t>03:21</t>
        </is>
      </c>
    </row>
    <row r="45">
      <c r="A45" s="5" t="inlineStr">
        <is>
          <t>2026-05-28</t>
        </is>
      </c>
      <c r="B45" s="5" t="inlineStr">
        <is>
          <t>Day 6</t>
        </is>
      </c>
      <c r="C45" s="5" t="inlineStr">
        <is>
          <t>D6-04</t>
        </is>
      </c>
      <c r="D45" s="5" t="inlineStr">
        <is>
          <t>Build Dashboard Page 4 (Product Recommendation)</t>
        </is>
      </c>
      <c r="E45" s="5" t="inlineStr">
        <is>
          <t>Medium</t>
        </is>
      </c>
      <c r="F45" s="5" t="inlineStr">
        <is>
          <t>William</t>
        </is>
      </c>
      <c r="G45" s="6" t="inlineStr">
        <is>
          <t>☑</t>
        </is>
      </c>
      <c r="H45" s="6" t="inlineStr">
        <is>
          <t>Done</t>
        </is>
      </c>
      <c r="I45" s="5" t="inlineStr">
        <is>
          <t>Tableau Page 4 built in Mobile_Game_Satisfaction_Tableau.twbx (Product Recommendation).</t>
        </is>
      </c>
      <c r="J45" s="5" t="inlineStr">
        <is>
          <t>03:21</t>
        </is>
      </c>
    </row>
    <row r="46">
      <c r="A46" s="5" t="inlineStr">
        <is>
          <t>2026-05-28</t>
        </is>
      </c>
      <c r="B46" t="inlineStr">
        <is>
          <t>Day 6</t>
        </is>
      </c>
      <c r="C46" t="inlineStr">
        <is>
          <t>D6-05</t>
        </is>
      </c>
      <c r="D46" t="inlineStr">
        <is>
          <t>Draft insight report v1 from BQ1-BQ5</t>
        </is>
      </c>
      <c r="E46" t="inlineStr">
        <is>
          <t>High</t>
        </is>
      </c>
      <c r="F46" t="inlineStr">
        <is>
          <t>William</t>
        </is>
      </c>
      <c r="G46" t="inlineStr">
        <is>
          <t>☑</t>
        </is>
      </c>
      <c r="H46" t="inlineStr">
        <is>
          <t>Done</t>
        </is>
      </c>
      <c r="I46" t="inlineStr">
        <is>
          <t>reports/每日复盘/User_Satisfaction_Insight_Report.md + .pdf (bilingual, 9 sections)</t>
        </is>
      </c>
      <c r="J46" t="inlineStr">
        <is>
          <t>20:50</t>
        </is>
      </c>
    </row>
    <row r="47">
      <c r="A47" s="5" t="inlineStr">
        <is>
          <t>2026-05-28</t>
        </is>
      </c>
      <c r="B47" s="5" t="inlineStr">
        <is>
          <t>Day 6</t>
        </is>
      </c>
      <c r="C47" s="5" t="inlineStr">
        <is>
          <t>D6-06</t>
        </is>
      </c>
      <c r="D47" s="5" t="inlineStr">
        <is>
          <t>Write Day 6 summary and blockers</t>
        </is>
      </c>
      <c r="E47" s="5" t="inlineStr">
        <is>
          <t>Medium</t>
        </is>
      </c>
      <c r="F47" s="5" t="inlineStr">
        <is>
          <t>William</t>
        </is>
      </c>
      <c r="G47" s="6" t="inlineStr">
        <is>
          <t>☑</t>
        </is>
      </c>
      <c r="H47" s="6" t="inlineStr">
        <is>
          <t>Done</t>
        </is>
      </c>
      <c r="I47" s="5" t="inlineStr">
        <is>
          <t>docs/daily_logs/day6_2026-05-28.md</t>
        </is>
      </c>
      <c r="J47" s="5" t="inlineStr">
        <is>
          <t>20:52</t>
        </is>
      </c>
    </row>
    <row r="48">
      <c r="A48" t="inlineStr">
        <is>
          <t>2026-05-28</t>
        </is>
      </c>
      <c r="B48" t="inlineStr">
        <is>
          <t>Day 6</t>
        </is>
      </c>
      <c r="C48" t="inlineStr">
        <is>
          <t>D6-07</t>
        </is>
      </c>
      <c r="D48" t="inlineStr">
        <is>
          <t>Add Data Honesty &amp; Limitations section to insight report</t>
        </is>
      </c>
      <c r="E48" t="inlineStr">
        <is>
          <t>High</t>
        </is>
      </c>
      <c r="F48" t="inlineStr">
        <is>
          <t>William</t>
        </is>
      </c>
      <c r="G48" t="inlineStr">
        <is>
          <t>☑</t>
        </is>
      </c>
      <c r="H48" t="inlineStr">
        <is>
          <t>Done</t>
        </is>
      </c>
      <c r="I48" t="inlineStr">
        <is>
          <t>Limitations &amp; Data Honesty section integrated into insight report §7</t>
        </is>
      </c>
      <c r="J48" t="inlineStr">
        <is>
          <t>20:52</t>
        </is>
      </c>
    </row>
    <row r="49">
      <c r="A49" s="7" t="inlineStr">
        <is>
          <t>Day 7 - 2026-05-11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9" t="n"/>
    </row>
    <row r="50">
      <c r="A50" s="5" t="inlineStr">
        <is>
          <t>2026-05-11</t>
        </is>
      </c>
      <c r="B50" s="5" t="inlineStr">
        <is>
          <t>Day 7</t>
        </is>
      </c>
      <c r="C50" s="5" t="inlineStr">
        <is>
          <t>D7-01</t>
        </is>
      </c>
      <c r="D50" s="5" t="inlineStr">
        <is>
          <t>Finalize README/portfolio-facing narrative</t>
        </is>
      </c>
      <c r="E50" s="5" t="inlineStr">
        <is>
          <t>Medium</t>
        </is>
      </c>
      <c r="F50" s="5" t="inlineStr">
        <is>
          <t>William</t>
        </is>
      </c>
      <c r="G50" s="6" t="inlineStr">
        <is>
          <t>☐</t>
        </is>
      </c>
      <c r="H50" s="6" t="inlineStr">
        <is>
          <t>Todo</t>
        </is>
      </c>
      <c r="I50" s="5" t="inlineStr"/>
      <c r="J50" s="5" t="inlineStr"/>
    </row>
    <row r="51">
      <c r="A51" s="5" t="inlineStr">
        <is>
          <t>2026-05-11</t>
        </is>
      </c>
      <c r="B51" s="5" t="inlineStr">
        <is>
          <t>Day 7</t>
        </is>
      </c>
      <c r="C51" s="5" t="inlineStr">
        <is>
          <t>D7-02</t>
        </is>
      </c>
      <c r="D51" s="5" t="inlineStr">
        <is>
          <t>Capture dashboard screenshots for deliverables</t>
        </is>
      </c>
      <c r="E51" s="5" t="inlineStr">
        <is>
          <t>Medium</t>
        </is>
      </c>
      <c r="F51" s="5" t="inlineStr">
        <is>
          <t>William</t>
        </is>
      </c>
      <c r="G51" s="6" t="inlineStr">
        <is>
          <t>☐</t>
        </is>
      </c>
      <c r="H51" s="6" t="inlineStr">
        <is>
          <t>Todo</t>
        </is>
      </c>
      <c r="I51" s="5" t="inlineStr"/>
      <c r="J51" s="5" t="inlineStr"/>
    </row>
    <row r="52">
      <c r="A52" s="5" t="inlineStr">
        <is>
          <t>2026-05-11</t>
        </is>
      </c>
      <c r="B52" s="5" t="inlineStr">
        <is>
          <t>Day 7</t>
        </is>
      </c>
      <c r="C52" s="5" t="inlineStr">
        <is>
          <t>D7-03</t>
        </is>
      </c>
      <c r="D52" s="5" t="inlineStr">
        <is>
          <t>Prepare resume bullets and interview storyline</t>
        </is>
      </c>
      <c r="E52" s="5" t="inlineStr">
        <is>
          <t>Medium</t>
        </is>
      </c>
      <c r="F52" s="5" t="inlineStr">
        <is>
          <t>William</t>
        </is>
      </c>
      <c r="G52" s="6" t="inlineStr">
        <is>
          <t>☐</t>
        </is>
      </c>
      <c r="H52" s="6" t="inlineStr">
        <is>
          <t>Todo</t>
        </is>
      </c>
      <c r="I52" s="5" t="inlineStr"/>
      <c r="J52" s="5" t="inlineStr"/>
    </row>
    <row r="53">
      <c r="A53" s="5" t="inlineStr">
        <is>
          <t>2026-05-11</t>
        </is>
      </c>
      <c r="B53" s="5" t="inlineStr">
        <is>
          <t>Day 7</t>
        </is>
      </c>
      <c r="C53" s="5" t="inlineStr">
        <is>
          <t>D7-04</t>
        </is>
      </c>
      <c r="D53" s="5" t="inlineStr">
        <is>
          <t>Do end-to-end QA pass on outputs and links</t>
        </is>
      </c>
      <c r="E53" s="5" t="inlineStr">
        <is>
          <t>Medium</t>
        </is>
      </c>
      <c r="F53" s="5" t="inlineStr">
        <is>
          <t>William</t>
        </is>
      </c>
      <c r="G53" s="6" t="inlineStr">
        <is>
          <t>☐</t>
        </is>
      </c>
      <c r="H53" s="6" t="inlineStr">
        <is>
          <t>Todo</t>
        </is>
      </c>
      <c r="I53" s="5" t="inlineStr"/>
      <c r="J53" s="5" t="inlineStr"/>
    </row>
    <row r="54">
      <c r="A54" s="5" t="inlineStr">
        <is>
          <t>2026-05-11</t>
        </is>
      </c>
      <c r="B54" s="5" t="inlineStr">
        <is>
          <t>Day 7</t>
        </is>
      </c>
      <c r="C54" s="5" t="inlineStr">
        <is>
          <t>D7-05</t>
        </is>
      </c>
      <c r="D54" s="5" t="inlineStr">
        <is>
          <t>Freeze Day 1-7 deliverable package</t>
        </is>
      </c>
      <c r="E54" s="5" t="inlineStr">
        <is>
          <t>Medium</t>
        </is>
      </c>
      <c r="F54" s="5" t="inlineStr">
        <is>
          <t>William</t>
        </is>
      </c>
      <c r="G54" s="6" t="inlineStr">
        <is>
          <t>☐</t>
        </is>
      </c>
      <c r="H54" s="6" t="inlineStr">
        <is>
          <t>Todo</t>
        </is>
      </c>
      <c r="I54" s="5" t="inlineStr"/>
      <c r="J54" s="5" t="inlineStr"/>
    </row>
    <row r="55">
      <c r="A55" s="5" t="inlineStr">
        <is>
          <t>2026-05-11</t>
        </is>
      </c>
      <c r="B55" s="5" t="inlineStr">
        <is>
          <t>Day 7</t>
        </is>
      </c>
      <c r="C55" s="5" t="inlineStr">
        <is>
          <t>D7-06</t>
        </is>
      </c>
      <c r="D55" s="5" t="inlineStr">
        <is>
          <t>Write Day 7 summary and blockers</t>
        </is>
      </c>
      <c r="E55" s="5" t="inlineStr">
        <is>
          <t>Medium</t>
        </is>
      </c>
      <c r="F55" s="5" t="inlineStr">
        <is>
          <t>William</t>
        </is>
      </c>
      <c r="G55" s="6" t="inlineStr">
        <is>
          <t>☐</t>
        </is>
      </c>
      <c r="H55" s="6" t="inlineStr">
        <is>
          <t>Todo</t>
        </is>
      </c>
      <c r="I55" s="5" t="inlineStr"/>
      <c r="J55" s="5" t="inlineStr"/>
    </row>
    <row r="56">
      <c r="A56" t="inlineStr">
        <is>
          <t>2026-05-11</t>
        </is>
      </c>
      <c r="B56" t="inlineStr">
        <is>
          <t>Day 7</t>
        </is>
      </c>
      <c r="C56" t="inlineStr">
        <is>
          <t>D7-07</t>
        </is>
      </c>
      <c r="D56" t="inlineStr">
        <is>
          <t>Freeze public portfolio version and clean placeholders</t>
        </is>
      </c>
      <c r="E56" t="inlineStr">
        <is>
          <t>High</t>
        </is>
      </c>
      <c r="F56" t="inlineStr">
        <is>
          <t>William</t>
        </is>
      </c>
      <c r="G56" t="inlineStr">
        <is>
          <t>☐</t>
        </is>
      </c>
      <c r="H56" t="inlineStr">
        <is>
          <t>Todo</t>
        </is>
      </c>
    </row>
  </sheetData>
  <mergeCells count="5">
    <mergeCell ref="A1:J1"/>
    <mergeCell ref="A18:J18"/>
    <mergeCell ref="A4:J4"/>
    <mergeCell ref="A25:J25"/>
    <mergeCell ref="A11:J11"/>
  </mergeCells>
  <dataValidations count="2">
    <dataValidation sqref="G5:G10 G12:G17 G19:G24 G26:G31 G33:G38 G40:G45 G47:G52" showDropDown="0" showInputMessage="0" showErrorMessage="0" allowBlank="1" type="list">
      <formula1>"☐,☑"</formula1>
    </dataValidation>
    <dataValidation sqref="H5:H10 H12:H17 H19:H24 H26:H31 H33:H38 H40:H45 H47:H52" showDropDown="0" showInputMessage="0" showErrorMessage="0" allowBlank="1" type="list">
      <formula1>"Todo,In Progress,Blocked,Done"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:F1"/>
    </sheetView>
  </sheetViews>
  <sheetFormatPr baseColWidth="8" defaultColWidth="9" defaultRowHeight="16.8"/>
  <cols>
    <col width="14" customWidth="1" min="1" max="1"/>
    <col width="30" customWidth="1" min="2" max="2"/>
    <col width="26" customWidth="1" min="3" max="3"/>
    <col width="12" customWidth="1" min="4" max="4"/>
    <col width="36" customWidth="1" min="5" max="6"/>
  </cols>
  <sheetData>
    <row r="1" ht="20.4" customHeight="1">
      <c r="A1" s="1" t="inlineStr">
        <is>
          <t>Day 1 Completion Log</t>
        </is>
      </c>
    </row>
    <row r="3">
      <c r="A3" s="2" t="inlineStr">
        <is>
          <t>Date</t>
        </is>
      </c>
      <c r="B3" t="inlineStr">
        <is>
          <t>2026-05-05</t>
        </is>
      </c>
      <c r="D3" s="2" t="inlineStr">
        <is>
          <t>Owner</t>
        </is>
      </c>
      <c r="E3" t="inlineStr">
        <is>
          <t>William</t>
        </is>
      </c>
    </row>
    <row r="5">
      <c r="A5" s="3" t="inlineStr">
        <is>
          <t>Section</t>
        </is>
      </c>
      <c r="B5" s="3" t="inlineStr">
        <is>
          <t>Metric</t>
        </is>
      </c>
      <c r="C5" s="3" t="inlineStr">
        <is>
          <t>Value</t>
        </is>
      </c>
      <c r="D5" s="3" t="inlineStr">
        <is>
          <t>Status</t>
        </is>
      </c>
      <c r="E5" s="3" t="inlineStr">
        <is>
          <t>Evidence/File</t>
        </is>
      </c>
      <c r="F5" s="3" t="inlineStr">
        <is>
          <t>Notes</t>
        </is>
      </c>
    </row>
    <row r="6">
      <c r="A6" s="4" t="inlineStr">
        <is>
          <t>Run</t>
        </is>
      </c>
      <c r="B6" s="5" t="inlineStr">
        <is>
          <t>Pipeline step executed</t>
        </is>
      </c>
      <c r="C6" s="5" t="inlineStr">
        <is>
          <t>01_collect + 02_clean</t>
        </is>
      </c>
      <c r="D6" s="6" t="inlineStr">
        <is>
          <t>Done</t>
        </is>
      </c>
      <c r="E6" s="5" t="inlineStr">
        <is>
          <t>scripts/01_collect, scripts/02_clean</t>
        </is>
      </c>
      <c r="F6" s="5" t="inlineStr"/>
    </row>
    <row r="7">
      <c r="A7" s="4" t="inlineStr">
        <is>
          <t>Run</t>
        </is>
      </c>
      <c r="B7" s="5" t="inlineStr">
        <is>
          <t>Run time</t>
        </is>
      </c>
      <c r="C7" s="5" t="inlineStr">
        <is>
          <t>2026-05-05 14:55:58</t>
        </is>
      </c>
      <c r="D7" s="6" t="inlineStr">
        <is>
          <t>Done</t>
        </is>
      </c>
      <c r="E7" s="5" t="inlineStr">
        <is>
          <t>reports/quality_report.csv</t>
        </is>
      </c>
      <c r="F7" s="5" t="inlineStr"/>
    </row>
    <row r="8">
      <c r="A8" s="4" t="inlineStr">
        <is>
          <t>Validation</t>
        </is>
      </c>
      <c r="B8" s="5" t="inlineStr">
        <is>
          <t>raw_rows</t>
        </is>
      </c>
      <c r="C8" s="5" t="inlineStr">
        <is>
          <t>16800</t>
        </is>
      </c>
      <c r="D8" s="6" t="inlineStr">
        <is>
          <t>Done</t>
        </is>
      </c>
      <c r="E8" s="5" t="inlineStr">
        <is>
          <t>data/raw/google_play_reviews_raw.csv</t>
        </is>
      </c>
      <c r="F8" s="5" t="inlineStr"/>
    </row>
    <row r="9">
      <c r="A9" s="4" t="inlineStr">
        <is>
          <t>Validation</t>
        </is>
      </c>
      <c r="B9" s="5" t="inlineStr">
        <is>
          <t>clean_all_rows</t>
        </is>
      </c>
      <c r="C9" s="5" t="inlineStr">
        <is>
          <t>15290</t>
        </is>
      </c>
      <c r="D9" s="6" t="inlineStr">
        <is>
          <t>Done</t>
        </is>
      </c>
      <c r="E9" s="5" t="inlineStr">
        <is>
          <t>data/processed/clean_all_languages.csv</t>
        </is>
      </c>
      <c r="F9" s="5" t="inlineStr"/>
    </row>
    <row r="10">
      <c r="A10" s="4" t="inlineStr">
        <is>
          <t>Validation</t>
        </is>
      </c>
      <c r="B10" s="5" t="inlineStr">
        <is>
          <t>clean_en_rows</t>
        </is>
      </c>
      <c r="C10" s="5" t="inlineStr">
        <is>
          <t>10956</t>
        </is>
      </c>
      <c r="D10" s="6" t="inlineStr">
        <is>
          <t>Done</t>
        </is>
      </c>
      <c r="E10" s="5" t="inlineStr">
        <is>
          <t>data/processed/clean_en_only.csv</t>
        </is>
      </c>
      <c r="F10" s="5" t="inlineStr"/>
    </row>
    <row r="11">
      <c r="A11" s="4" t="inlineStr">
        <is>
          <t>Validation</t>
        </is>
      </c>
      <c r="B11" s="5" t="inlineStr">
        <is>
          <t>english_share</t>
        </is>
      </c>
      <c r="C11" s="5" t="inlineStr">
        <is>
          <t>0.6521</t>
        </is>
      </c>
      <c r="D11" s="6" t="inlineStr">
        <is>
          <t>Done</t>
        </is>
      </c>
      <c r="E11" s="5" t="inlineStr">
        <is>
          <t>calc: clean_en/raw</t>
        </is>
      </c>
      <c r="F11" s="5" t="inlineStr"/>
    </row>
    <row r="12">
      <c r="A12" s="4" t="inlineStr">
        <is>
          <t>Validation</t>
        </is>
      </c>
      <c r="B12" s="5" t="inlineStr">
        <is>
          <t>date_min</t>
        </is>
      </c>
      <c r="C12" s="5" t="inlineStr">
        <is>
          <t>2024-02-12 00:12:16</t>
        </is>
      </c>
      <c r="D12" s="6" t="inlineStr">
        <is>
          <t>Done</t>
        </is>
      </c>
      <c r="E12" s="5" t="inlineStr">
        <is>
          <t>raw at</t>
        </is>
      </c>
      <c r="F12" s="5" t="inlineStr"/>
    </row>
    <row r="13">
      <c r="A13" s="4" t="inlineStr">
        <is>
          <t>Validation</t>
        </is>
      </c>
      <c r="B13" s="5" t="inlineStr">
        <is>
          <t>date_max</t>
        </is>
      </c>
      <c r="C13" s="5" t="inlineStr">
        <is>
          <t>2026-05-04 14:37:17</t>
        </is>
      </c>
      <c r="D13" s="6" t="inlineStr">
        <is>
          <t>Done</t>
        </is>
      </c>
      <c r="E13" s="5" t="inlineStr">
        <is>
          <t>raw at</t>
        </is>
      </c>
      <c r="F13" s="5" t="inlineStr"/>
    </row>
    <row r="14">
      <c r="A14" s="4" t="inlineStr">
        <is>
          <t>Quality</t>
        </is>
      </c>
      <c r="B14" s="5" t="inlineStr">
        <is>
          <t>Key quality metric #1</t>
        </is>
      </c>
      <c r="C14" s="5" t="inlineStr">
        <is>
          <t>duplicate_rate=0.0</t>
        </is>
      </c>
      <c r="D14" s="6" t="inlineStr">
        <is>
          <t>Done</t>
        </is>
      </c>
      <c r="E14" s="5" t="inlineStr">
        <is>
          <t>reports/quality_report.csv</t>
        </is>
      </c>
      <c r="F14" s="5" t="inlineStr"/>
    </row>
    <row r="15">
      <c r="A15" s="4" t="inlineStr">
        <is>
          <t>Quality</t>
        </is>
      </c>
      <c r="B15" s="5" t="inlineStr">
        <is>
          <t>Key quality metric #2</t>
        </is>
      </c>
      <c r="C15" s="5" t="inlineStr">
        <is>
          <t>empty_text_rate=0.0001</t>
        </is>
      </c>
      <c r="D15" s="6" t="inlineStr">
        <is>
          <t>Done</t>
        </is>
      </c>
      <c r="E15" s="5" t="inlineStr">
        <is>
          <t>reports/quality_report.csv</t>
        </is>
      </c>
      <c r="F15" s="5" t="inlineStr"/>
    </row>
    <row r="16">
      <c r="A16" s="4" t="inlineStr">
        <is>
          <t>Output</t>
        </is>
      </c>
      <c r="B16" s="5" t="inlineStr">
        <is>
          <t>Primary output file #1</t>
        </is>
      </c>
      <c r="C16" s="5" t="inlineStr">
        <is>
          <t>google_play_reviews_raw.csv</t>
        </is>
      </c>
      <c r="D16" s="6" t="inlineStr">
        <is>
          <t>Done</t>
        </is>
      </c>
      <c r="E16" s="5" t="inlineStr">
        <is>
          <t>data/raw/</t>
        </is>
      </c>
      <c r="F16" s="5" t="inlineStr"/>
    </row>
    <row r="17">
      <c r="A17" s="4" t="inlineStr">
        <is>
          <t>Output</t>
        </is>
      </c>
      <c r="B17" s="5" t="inlineStr">
        <is>
          <t>Primary output file #2</t>
        </is>
      </c>
      <c r="C17" s="5" t="inlineStr">
        <is>
          <t>quality_report.csv</t>
        </is>
      </c>
      <c r="D17" s="6" t="inlineStr">
        <is>
          <t>Done</t>
        </is>
      </c>
      <c r="E17" s="5" t="inlineStr">
        <is>
          <t>reports/</t>
        </is>
      </c>
      <c r="F17" s="5" t="inlineStr"/>
    </row>
    <row r="18">
      <c r="A18" s="4" t="inlineStr">
        <is>
          <t>Summary</t>
        </is>
      </c>
      <c r="B18" s="5" t="inlineStr">
        <is>
          <t>Day conclusion</t>
        </is>
      </c>
      <c r="C18" s="5" t="inlineStr">
        <is>
          <t>Day 1 checks passed; ready for Day 2</t>
        </is>
      </c>
      <c r="D18" s="6" t="inlineStr">
        <is>
          <t>Done</t>
        </is>
      </c>
      <c r="E18" s="5" t="inlineStr">
        <is>
          <t>docs/daily_logs/day1_2026-05-05.md</t>
        </is>
      </c>
      <c r="F18" s="5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:F1"/>
    </sheetView>
  </sheetViews>
  <sheetFormatPr baseColWidth="8" defaultColWidth="9" defaultRowHeight="16.8"/>
  <cols>
    <col width="14" customWidth="1" min="1" max="1"/>
    <col width="30" customWidth="1" min="2" max="2"/>
    <col width="26" customWidth="1" min="3" max="3"/>
    <col width="12" customWidth="1" min="4" max="4"/>
    <col width="36" customWidth="1" min="5" max="6"/>
  </cols>
  <sheetData>
    <row r="1" ht="20.4" customHeight="1">
      <c r="A1" s="1" t="inlineStr">
        <is>
          <t>Day 2 Completion Log</t>
        </is>
      </c>
    </row>
    <row r="3">
      <c r="A3" s="2" t="inlineStr">
        <is>
          <t>Date</t>
        </is>
      </c>
      <c r="D3" s="2" t="inlineStr">
        <is>
          <t>Owner</t>
        </is>
      </c>
      <c r="E3" t="inlineStr">
        <is>
          <t>William</t>
        </is>
      </c>
    </row>
    <row r="5">
      <c r="A5" s="3" t="inlineStr">
        <is>
          <t>Section</t>
        </is>
      </c>
      <c r="B5" s="3" t="inlineStr">
        <is>
          <t>Metric</t>
        </is>
      </c>
      <c r="C5" s="3" t="inlineStr">
        <is>
          <t>Value</t>
        </is>
      </c>
      <c r="D5" s="3" t="inlineStr">
        <is>
          <t>Status</t>
        </is>
      </c>
      <c r="E5" s="3" t="inlineStr">
        <is>
          <t>Evidence/File</t>
        </is>
      </c>
      <c r="F5" s="3" t="inlineStr">
        <is>
          <t>Notes</t>
        </is>
      </c>
    </row>
    <row r="6">
      <c r="A6" s="4" t="inlineStr">
        <is>
          <t>Metrics</t>
        </is>
      </c>
      <c r="B6" s="5" t="inlineStr">
        <is>
          <t>avg_rating_by_app</t>
        </is>
      </c>
      <c r="C6" s="5" t="inlineStr">
        <is>
          <t>see app_base_metrics</t>
        </is>
      </c>
      <c r="D6" s="6" t="inlineStr">
        <is>
          <t>Done</t>
        </is>
      </c>
      <c r="E6" s="5" t="inlineStr">
        <is>
          <t>reports/tables/app_base_metrics.csv</t>
        </is>
      </c>
      <c r="F6" s="5" t="inlineStr"/>
    </row>
    <row r="7">
      <c r="A7" s="4" t="inlineStr">
        <is>
          <t>Metrics</t>
        </is>
      </c>
      <c r="B7" s="5" t="inlineStr">
        <is>
          <t>positive_share_by_app</t>
        </is>
      </c>
      <c r="C7" s="5" t="inlineStr">
        <is>
          <t>computed</t>
        </is>
      </c>
      <c r="D7" s="6" t="inlineStr">
        <is>
          <t>Done</t>
        </is>
      </c>
      <c r="E7" s="5" t="inlineStr">
        <is>
          <t>app_base_metrics.csv</t>
        </is>
      </c>
      <c r="F7" s="5" t="inlineStr"/>
    </row>
    <row r="8">
      <c r="A8" s="4" t="inlineStr">
        <is>
          <t>Metrics</t>
        </is>
      </c>
      <c r="B8" s="5" t="inlineStr">
        <is>
          <t>low_star_share_by_app</t>
        </is>
      </c>
      <c r="C8" s="5" t="inlineStr">
        <is>
          <t>computed</t>
        </is>
      </c>
      <c r="D8" s="6" t="inlineStr">
        <is>
          <t>Done</t>
        </is>
      </c>
      <c r="E8" s="5" t="inlineStr">
        <is>
          <t>app_base_metrics.csv</t>
        </is>
      </c>
      <c r="F8" s="5" t="inlineStr"/>
    </row>
    <row r="9">
      <c r="A9" s="4" t="inlineStr">
        <is>
          <t>Metrics</t>
        </is>
      </c>
      <c r="B9" s="5" t="inlineStr">
        <is>
          <t>bayesian_adjusted_rating</t>
        </is>
      </c>
      <c r="C9" s="5" t="inlineStr">
        <is>
          <t>global_mean 3.676</t>
        </is>
      </c>
      <c r="D9" s="6" t="inlineStr">
        <is>
          <t>Done</t>
        </is>
      </c>
      <c r="E9" s="5" t="inlineStr">
        <is>
          <t>app_health_score.csv</t>
        </is>
      </c>
      <c r="F9" s="5" t="inlineStr"/>
    </row>
    <row r="10">
      <c r="A10" s="4" t="inlineStr">
        <is>
          <t>Metrics</t>
        </is>
      </c>
      <c r="B10" s="5" t="inlineStr">
        <is>
          <t>confidence</t>
        </is>
      </c>
      <c r="C10" s="5" t="inlineStr">
        <is>
          <t>all 1.0 (n≥513)</t>
        </is>
      </c>
      <c r="D10" s="6" t="inlineStr">
        <is>
          <t>Done</t>
        </is>
      </c>
      <c r="E10" s="5" t="inlineStr">
        <is>
          <t>app_health_score.csv</t>
        </is>
      </c>
      <c r="F10" s="5" t="inlineStr"/>
    </row>
    <row r="11">
      <c r="A11" s="4" t="inlineStr">
        <is>
          <t>Metrics</t>
        </is>
      </c>
      <c r="B11" s="5" t="inlineStr">
        <is>
          <t>momentum</t>
        </is>
      </c>
      <c r="C11" s="5" t="inlineStr">
        <is>
          <t>weekly slope / fallback</t>
        </is>
      </c>
      <c r="D11" s="6" t="inlineStr">
        <is>
          <t>Done</t>
        </is>
      </c>
      <c r="E11" s="5" t="inlineStr">
        <is>
          <t>app_health_score.csv</t>
        </is>
      </c>
      <c r="F11" s="5" t="inlineStr"/>
    </row>
    <row r="12">
      <c r="A12" s="4" t="inlineStr">
        <is>
          <t>Output</t>
        </is>
      </c>
      <c r="B12" s="5" t="inlineStr">
        <is>
          <t>app_health_score.csv</t>
        </is>
      </c>
      <c r="C12" s="5" t="inlineStr">
        <is>
          <t>14 rows</t>
        </is>
      </c>
      <c r="D12" s="6" t="inlineStr">
        <is>
          <t>Done</t>
        </is>
      </c>
      <c r="E12" s="5" t="inlineStr">
        <is>
          <t>reports/tables/app_health_score.csv</t>
        </is>
      </c>
      <c r="F12" s="5" t="inlineStr"/>
    </row>
    <row r="13">
      <c r="A13" s="4" t="inlineStr">
        <is>
          <t>Validation</t>
        </is>
      </c>
      <c r="B13" s="5" t="inlineStr">
        <is>
          <t>ranking_sanity_check</t>
        </is>
      </c>
      <c r="C13" s="5" t="inlineStr">
        <is>
          <t>VERIFICATION OK + rank review</t>
        </is>
      </c>
      <c r="D13" s="6" t="inlineStr">
        <is>
          <t>Done</t>
        </is>
      </c>
      <c r="E13" s="5" t="inlineStr">
        <is>
          <t>verify script / manual</t>
        </is>
      </c>
      <c r="F13" s="5" t="inlineStr"/>
    </row>
    <row r="14">
      <c r="A14" s="4" t="inlineStr">
        <is>
          <t>Summary</t>
        </is>
      </c>
      <c r="B14" s="5" t="inlineStr">
        <is>
          <t>day_conclusion</t>
        </is>
      </c>
      <c r="C14" s="5" t="inlineStr">
        <is>
          <t>day2_2026-05-06.md</t>
        </is>
      </c>
      <c r="D14" s="6" t="inlineStr">
        <is>
          <t>Done</t>
        </is>
      </c>
      <c r="E14" s="5" t="inlineStr">
        <is>
          <t>docs/daily_logs/</t>
        </is>
      </c>
      <c r="F14" s="5" t="inlineStr"/>
    </row>
    <row r="15">
      <c r="A15" s="4" t="n"/>
      <c r="B15" s="5" t="n"/>
      <c r="C15" s="5" t="n"/>
      <c r="D15" s="6" t="n"/>
      <c r="E15" s="5" t="n"/>
      <c r="F15" s="5" t="n"/>
    </row>
    <row r="16">
      <c r="A16" s="4" t="n"/>
      <c r="B16" s="5" t="n"/>
      <c r="C16" s="5" t="n"/>
      <c r="D16" s="6" t="n"/>
      <c r="E16" s="5" t="n"/>
      <c r="F16" s="5" t="n"/>
    </row>
    <row r="17">
      <c r="A17" s="4" t="n"/>
      <c r="B17" s="5" t="n"/>
      <c r="C17" s="5" t="n"/>
      <c r="D17" s="6" t="n"/>
      <c r="E17" s="5" t="n"/>
      <c r="F17" s="5" t="n"/>
    </row>
    <row r="18">
      <c r="A18" s="4" t="n"/>
      <c r="B18" s="5" t="n"/>
      <c r="C18" s="5" t="n"/>
      <c r="D18" s="6" t="n"/>
      <c r="E18" s="5" t="n"/>
      <c r="F18" s="5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:F1"/>
    </sheetView>
  </sheetViews>
  <sheetFormatPr baseColWidth="8" defaultColWidth="9" defaultRowHeight="16.8"/>
  <cols>
    <col width="14" customWidth="1" min="1" max="1"/>
    <col width="30" customWidth="1" min="2" max="2"/>
    <col width="26" customWidth="1" min="3" max="3"/>
    <col width="12" customWidth="1" min="4" max="4"/>
    <col width="36" customWidth="1" min="5" max="6"/>
  </cols>
  <sheetData>
    <row r="1" ht="20.4" customHeight="1">
      <c r="A1" s="1" t="inlineStr">
        <is>
          <t>Day 3 Completion Log</t>
        </is>
      </c>
    </row>
    <row r="3">
      <c r="A3" s="2" t="inlineStr">
        <is>
          <t>Date</t>
        </is>
      </c>
      <c r="D3" s="2" t="inlineStr">
        <is>
          <t>Owner</t>
        </is>
      </c>
      <c r="E3" t="inlineStr">
        <is>
          <t>William</t>
        </is>
      </c>
    </row>
    <row r="5">
      <c r="A5" s="3" t="inlineStr">
        <is>
          <t>Section</t>
        </is>
      </c>
      <c r="B5" s="3" t="inlineStr">
        <is>
          <t>Metric</t>
        </is>
      </c>
      <c r="C5" s="3" t="inlineStr">
        <is>
          <t>Value</t>
        </is>
      </c>
      <c r="D5" s="3" t="inlineStr">
        <is>
          <t>Status</t>
        </is>
      </c>
      <c r="E5" s="3" t="inlineStr">
        <is>
          <t>Evidence/File</t>
        </is>
      </c>
      <c r="F5" s="3" t="inlineStr">
        <is>
          <t>Notes</t>
        </is>
      </c>
    </row>
    <row r="6">
      <c r="A6" s="4" t="inlineStr">
        <is>
          <t>Output</t>
        </is>
      </c>
      <c r="B6" s="5" t="inlineStr">
        <is>
          <t>app_benchmark_bq2.csv</t>
        </is>
      </c>
      <c r="C6" s="5" t="inlineStr">
        <is>
          <t>14 apps</t>
        </is>
      </c>
      <c r="D6" s="6" t="inlineStr">
        <is>
          <t>Done</t>
        </is>
      </c>
      <c r="E6" s="5" t="inlineStr">
        <is>
          <t>reports/tables/app_benchmark_bq2.csv</t>
        </is>
      </c>
      <c r="F6" s="5" t="inlineStr"/>
    </row>
    <row r="7">
      <c r="A7" s="4" t="inlineStr">
        <is>
          <t>Output</t>
        </is>
      </c>
      <c r="B7" s="5" t="inlineStr">
        <is>
          <t>publisher_benchmark.csv</t>
        </is>
      </c>
      <c r="C7" s="5" t="inlineStr">
        <is>
          <t>8 publishers</t>
        </is>
      </c>
      <c r="D7" s="6" t="inlineStr">
        <is>
          <t>Done</t>
        </is>
      </c>
      <c r="E7" s="5" t="inlineStr">
        <is>
          <t>reports/tables/publisher_benchmark.csv</t>
        </is>
      </c>
      <c r="F7" s="5" t="inlineStr"/>
    </row>
    <row r="8">
      <c r="A8" s="4" t="inlineStr">
        <is>
          <t>Output</t>
        </is>
      </c>
      <c r="B8" s="5" t="inlineStr">
        <is>
          <t>flagship_7_benchmark.csv</t>
        </is>
      </c>
      <c r="C8" s="5" t="inlineStr">
        <is>
          <t>7 apps</t>
        </is>
      </c>
      <c r="D8" s="6" t="inlineStr">
        <is>
          <t>Done</t>
        </is>
      </c>
      <c r="E8" s="5" t="inlineStr">
        <is>
          <t>reports/tables/flagship_7_benchmark.csv</t>
        </is>
      </c>
      <c r="F8" s="5" t="inlineStr"/>
    </row>
    <row r="9">
      <c r="A9" s="4" t="inlineStr">
        <is>
          <t>Output</t>
        </is>
      </c>
      <c r="B9" s="5" t="inlineStr">
        <is>
          <t>volume_vs_rating_scatter.csv</t>
        </is>
      </c>
      <c r="C9" s="5" t="inlineStr">
        <is>
          <t>14 apps</t>
        </is>
      </c>
      <c r="D9" s="6" t="inlineStr">
        <is>
          <t>Done</t>
        </is>
      </c>
      <c r="E9" s="5" t="inlineStr">
        <is>
          <t>reports/tables/volume_vs_rating_scatter.csv</t>
        </is>
      </c>
      <c r="F9" s="5" t="inlineStr"/>
    </row>
    <row r="10">
      <c r="A10" s="4" t="inlineStr">
        <is>
          <t>Validation</t>
        </is>
      </c>
      <c r="B10" s="5" t="inlineStr">
        <is>
          <t>benchmark_consistency_check</t>
        </is>
      </c>
      <c r="C10" s="5" t="inlineStr">
        <is>
          <t>merged from base+health</t>
        </is>
      </c>
      <c r="D10" s="6" t="inlineStr">
        <is>
          <t>Done</t>
        </is>
      </c>
      <c r="E10" s="5" t="inlineStr">
        <is>
          <t>same grain as Day 2 tables</t>
        </is>
      </c>
      <c r="F10" s="5" t="inlineStr"/>
    </row>
    <row r="11">
      <c r="A11" s="4" t="inlineStr">
        <is>
          <t>Summary</t>
        </is>
      </c>
      <c r="B11" s="5" t="inlineStr">
        <is>
          <t>day_conclusion</t>
        </is>
      </c>
      <c r="C11" s="5" t="inlineStr">
        <is>
          <t>day3 log + Page2 draft</t>
        </is>
      </c>
      <c r="D11" s="6" t="inlineStr">
        <is>
          <t>Done</t>
        </is>
      </c>
      <c r="E11" s="5" t="inlineStr">
        <is>
          <t>docs/daily_logs/day3_2026-05-07.md</t>
        </is>
      </c>
      <c r="F11" s="5" t="inlineStr"/>
    </row>
    <row r="12">
      <c r="A12" s="4" t="n"/>
      <c r="B12" s="5" t="n"/>
      <c r="C12" s="5" t="n"/>
      <c r="D12" s="6" t="n"/>
      <c r="E12" s="5" t="n"/>
      <c r="F12" s="5" t="n"/>
    </row>
    <row r="13">
      <c r="A13" s="4" t="n"/>
      <c r="B13" s="5" t="n"/>
      <c r="C13" s="5" t="n"/>
      <c r="D13" s="6" t="n"/>
      <c r="E13" s="5" t="n"/>
      <c r="F13" s="5" t="n"/>
    </row>
    <row r="14">
      <c r="A14" s="4" t="n"/>
      <c r="B14" s="5" t="n"/>
      <c r="C14" s="5" t="n"/>
      <c r="D14" s="6" t="n"/>
      <c r="E14" s="5" t="n"/>
      <c r="F14" s="5" t="n"/>
    </row>
    <row r="15">
      <c r="A15" s="4" t="n"/>
      <c r="B15" s="5" t="n"/>
      <c r="C15" s="5" t="n"/>
      <c r="D15" s="6" t="n"/>
      <c r="E15" s="5" t="n"/>
      <c r="F15" s="5" t="n"/>
    </row>
    <row r="16">
      <c r="A16" s="4" t="n"/>
      <c r="B16" s="5" t="n"/>
      <c r="C16" s="5" t="n"/>
      <c r="D16" s="6" t="n"/>
      <c r="E16" s="5" t="n"/>
      <c r="F16" s="5" t="n"/>
    </row>
    <row r="17">
      <c r="A17" s="4" t="n"/>
      <c r="B17" s="5" t="n"/>
      <c r="C17" s="5" t="n"/>
      <c r="D17" s="6" t="n"/>
      <c r="E17" s="5" t="n"/>
      <c r="F17" s="5" t="n"/>
    </row>
    <row r="18">
      <c r="A18" s="4" t="n"/>
      <c r="B18" s="5" t="n"/>
      <c r="C18" s="5" t="n"/>
      <c r="D18" s="6" t="n"/>
      <c r="E18" s="5" t="n"/>
      <c r="F18" s="5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:F1"/>
    </sheetView>
  </sheetViews>
  <sheetFormatPr baseColWidth="8" defaultColWidth="9" defaultRowHeight="16.8"/>
  <cols>
    <col width="14" customWidth="1" min="1" max="1"/>
    <col width="30" customWidth="1" min="2" max="2"/>
    <col width="26" customWidth="1" min="3" max="3"/>
    <col width="12" customWidth="1" min="4" max="4"/>
    <col width="36" customWidth="1" min="5" max="6"/>
  </cols>
  <sheetData>
    <row r="1" ht="20.4" customHeight="1">
      <c r="A1" s="1" t="inlineStr">
        <is>
          <t>Day 4 Completion Log</t>
        </is>
      </c>
    </row>
    <row r="3">
      <c r="A3" s="2" t="inlineStr">
        <is>
          <t>Date</t>
        </is>
      </c>
      <c r="B3" t="inlineStr">
        <is>
          <t>2026-05-27</t>
        </is>
      </c>
      <c r="D3" s="2" t="inlineStr">
        <is>
          <t>Owner</t>
        </is>
      </c>
      <c r="E3" t="inlineStr">
        <is>
          <t>William</t>
        </is>
      </c>
    </row>
    <row r="5">
      <c r="A5" s="3" t="inlineStr">
        <is>
          <t>Section</t>
        </is>
      </c>
      <c r="B5" s="3" t="inlineStr">
        <is>
          <t>Metric</t>
        </is>
      </c>
      <c r="C5" s="3" t="inlineStr">
        <is>
          <t>Value</t>
        </is>
      </c>
      <c r="D5" s="3" t="inlineStr">
        <is>
          <t>Status</t>
        </is>
      </c>
      <c r="E5" s="3" t="inlineStr">
        <is>
          <t>Evidence/File</t>
        </is>
      </c>
      <c r="F5" s="3" t="inlineStr">
        <is>
          <t>Notes</t>
        </is>
      </c>
    </row>
    <row r="6">
      <c r="A6" s="4" t="inlineStr">
        <is>
          <t>Config</t>
        </is>
      </c>
      <c r="B6" s="5" t="inlineStr">
        <is>
          <t>themes.yml_created</t>
        </is>
      </c>
      <c r="C6" s="5" t="inlineStr">
        <is>
          <t>18 themes (13 neg + 5 pos), v2 with exclude rules</t>
        </is>
      </c>
      <c r="D6" s="6" t="inlineStr">
        <is>
          <t>Done</t>
        </is>
      </c>
      <c r="E6" s="5" t="inlineStr">
        <is>
          <t>config/themes.yml</t>
        </is>
      </c>
      <c r="F6" s="5" t="inlineStr"/>
    </row>
    <row r="7">
      <c r="A7" s="4" t="inlineStr">
        <is>
          <t>Output</t>
        </is>
      </c>
      <c r="B7" s="5" t="inlineStr">
        <is>
          <t>reviews_with_themes.csv</t>
        </is>
      </c>
      <c r="C7" s="5" t="inlineStr">
        <is>
          <t>10940 rows, multi-label</t>
        </is>
      </c>
      <c r="D7" s="6" t="inlineStr">
        <is>
          <t>Done</t>
        </is>
      </c>
      <c r="E7" s="5" t="inlineStr">
        <is>
          <t>data/processed/reviews_with_themes.csv</t>
        </is>
      </c>
      <c r="F7" s="5" t="inlineStr"/>
    </row>
    <row r="8">
      <c r="A8" s="4" t="inlineStr">
        <is>
          <t>Metrics</t>
        </is>
      </c>
      <c r="B8" s="5" t="inlineStr">
        <is>
          <t>theme_coverage_rate</t>
        </is>
      </c>
      <c r="C8" s="5" t="inlineStr">
        <is>
          <t>45.2% (≥1 theme)</t>
        </is>
      </c>
      <c r="D8" s="6" t="inlineStr">
        <is>
          <t>Done</t>
        </is>
      </c>
      <c r="E8" s="5" t="inlineStr">
        <is>
          <t>reports/tables/theme_summary_overall.csv</t>
        </is>
      </c>
      <c r="F8" s="5" t="inlineStr"/>
    </row>
    <row r="9">
      <c r="A9" s="4" t="inlineStr">
        <is>
          <t>Metrics</t>
        </is>
      </c>
      <c r="B9" s="5" t="inlineStr">
        <is>
          <t>low_star_theme_topN</t>
        </is>
      </c>
      <c r="C9" s="5" t="inlineStr">
        <is>
          <t>Fun 12.2%; Crash 8.1%; Loading 5.7%; Pay-to-win 3.9%; Difficulty 3.6%</t>
        </is>
      </c>
      <c r="D9" s="6" t="inlineStr">
        <is>
          <t>Done</t>
        </is>
      </c>
      <c r="E9" s="5" t="inlineStr">
        <is>
          <t>reports/tables/low_star_theme_summary.csv</t>
        </is>
      </c>
      <c r="F9" s="5" t="inlineStr"/>
    </row>
    <row r="10">
      <c r="A10" s="4" t="inlineStr">
        <is>
          <t>Metrics</t>
        </is>
      </c>
      <c r="B10" s="5" t="inlineStr">
        <is>
          <t>positive_theme_topN</t>
        </is>
      </c>
      <c r="C10" s="5" t="inlineStr">
        <is>
          <t>Fun n=3567 share=32.6%; Story n=519; Visual n=239; Social n=230</t>
        </is>
      </c>
      <c r="D10" s="6" t="inlineStr">
        <is>
          <t>Done</t>
        </is>
      </c>
      <c r="E10" s="5" t="inlineStr">
        <is>
          <t>reports/tables/theme_summary_overall.csv</t>
        </is>
      </c>
      <c r="F10" s="5" t="inlineStr"/>
    </row>
    <row r="11">
      <c r="A11" s="4" t="inlineStr">
        <is>
          <t>Validation</t>
        </is>
      </c>
      <c r="B11" s="5" t="inlineStr">
        <is>
          <t>manual_theme_QA_round1</t>
        </is>
      </c>
      <c r="C11" s="5" t="inlineStr">
        <is>
          <t>v1→v2 self-check done; D4-07 cancelled, second pass deferred to Phase 2</t>
        </is>
      </c>
      <c r="D11" s="6" t="inlineStr">
        <is>
          <t>Cancelled</t>
        </is>
      </c>
      <c r="E11" s="5" t="inlineStr">
        <is>
          <t>reports/tables/theme_validation_sample.csv</t>
        </is>
      </c>
      <c r="F11" s="5" t="inlineStr"/>
    </row>
    <row r="12">
      <c r="A12" s="4" t="inlineStr">
        <is>
          <t>Summary</t>
        </is>
      </c>
      <c r="B12" s="5" t="inlineStr">
        <is>
          <t>day_conclusion</t>
        </is>
      </c>
      <c r="C12" s="5" t="inlineStr">
        <is>
          <t>Theme pipeline shipped; Crash rating_gap +1.28; Loading +1.08 → Day 5 Priority</t>
        </is>
      </c>
      <c r="D12" s="6" t="inlineStr">
        <is>
          <t>Done</t>
        </is>
      </c>
      <c r="E12" s="5" t="inlineStr">
        <is>
          <t>docs/daily_logs/day4_2026-05-27.md</t>
        </is>
      </c>
      <c r="F12" s="5" t="inlineStr"/>
    </row>
    <row r="13">
      <c r="A13" s="4" t="inlineStr">
        <is>
          <t>Task ID</t>
        </is>
      </c>
      <c r="B13" s="5" t="inlineStr">
        <is>
          <t>D4-07</t>
        </is>
      </c>
      <c r="C13" s="5" t="n"/>
      <c r="D13" s="6" t="inlineStr">
        <is>
          <t>Todo</t>
        </is>
      </c>
      <c r="E13" s="5" t="n"/>
      <c r="F13" s="5" t="n"/>
    </row>
    <row r="14">
      <c r="A14" s="4" t="inlineStr">
        <is>
          <t>Task Name</t>
        </is>
      </c>
      <c r="B14" s="5" t="inlineStr">
        <is>
          <t>Manual theme validation sample review</t>
        </is>
      </c>
      <c r="C14" s="5" t="n"/>
      <c r="D14" s="6" t="n"/>
      <c r="E14" s="5" t="n"/>
      <c r="F14" s="5" t="n"/>
    </row>
    <row r="15">
      <c r="A15" s="4" t="inlineStr">
        <is>
          <t>Description</t>
        </is>
      </c>
      <c r="B15" s="5" t="inlineStr">
        <is>
          <t>Manually review a sample of 100 low-star reviews and 50 high-star reviews to check false positives, false negatives, missing keywords, and obvious misclassification cases in the rule-based theme tagging.</t>
        </is>
      </c>
      <c r="C15" s="5" t="n"/>
      <c r="D15" s="6" t="n"/>
      <c r="E15" s="5" t="n"/>
      <c r="F15" s="5" t="n"/>
    </row>
    <row r="16">
      <c r="A16" s="4" t="inlineStr">
        <is>
          <t>Expected Output / Evidence</t>
        </is>
      </c>
      <c r="B16" s="5" t="inlineStr">
        <is>
          <t>docs/theme_validation_notes.md; Updated config/themes.yml if keywords or exclude_keywords are refined</t>
        </is>
      </c>
      <c r="C16" s="5" t="n"/>
      <c r="D16" s="6" t="n"/>
      <c r="E16" s="5" t="n"/>
      <c r="F16" s="5" t="n"/>
    </row>
    <row r="17">
      <c r="A17" s="4" t="inlineStr">
        <is>
          <t>Purpose</t>
        </is>
      </c>
      <c r="B17" s="5" t="inlineStr">
        <is>
          <t>Supports Theme Taxonomy and makes rule-based classification more defensible for DA/BA interview discussion.</t>
        </is>
      </c>
      <c r="C17" s="5" t="n"/>
      <c r="D17" s="6" t="n"/>
      <c r="E17" s="5" t="n"/>
      <c r="F17" s="5" t="n"/>
    </row>
    <row r="18">
      <c r="A18" s="4" t="n"/>
      <c r="B18" s="5" t="n"/>
      <c r="C18" s="5" t="n"/>
      <c r="D18" s="6" t="n"/>
      <c r="E18" s="5" t="n"/>
      <c r="F18" s="5" t="n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:F1"/>
    </sheetView>
  </sheetViews>
  <sheetFormatPr baseColWidth="8" defaultColWidth="9" defaultRowHeight="16.8"/>
  <cols>
    <col width="14" customWidth="1" min="1" max="1"/>
    <col width="30" customWidth="1" min="2" max="2"/>
    <col width="26" customWidth="1" min="3" max="3"/>
    <col width="12" customWidth="1" min="4" max="4"/>
    <col width="36" customWidth="1" min="5" max="6"/>
  </cols>
  <sheetData>
    <row r="1" ht="20.4" customHeight="1">
      <c r="A1" s="1" t="inlineStr">
        <is>
          <t>Day 5 Completion Log</t>
        </is>
      </c>
    </row>
    <row r="3">
      <c r="A3" s="2" t="inlineStr">
        <is>
          <t>Date</t>
        </is>
      </c>
      <c r="B3" t="inlineStr">
        <is>
          <t>2026-05-27</t>
        </is>
      </c>
      <c r="D3" s="2" t="inlineStr">
        <is>
          <t>Owner</t>
        </is>
      </c>
      <c r="E3" t="inlineStr">
        <is>
          <t>William</t>
        </is>
      </c>
    </row>
    <row r="5">
      <c r="A5" s="3" t="inlineStr">
        <is>
          <t>Section</t>
        </is>
      </c>
      <c r="B5" s="3" t="inlineStr">
        <is>
          <t>Metric</t>
        </is>
      </c>
      <c r="C5" s="3" t="inlineStr">
        <is>
          <t>Value</t>
        </is>
      </c>
      <c r="D5" s="3" t="inlineStr">
        <is>
          <t>Status</t>
        </is>
      </c>
      <c r="E5" s="3" t="inlineStr">
        <is>
          <t>Evidence/File</t>
        </is>
      </c>
      <c r="F5" s="3" t="inlineStr">
        <is>
          <t>Notes</t>
        </is>
      </c>
    </row>
    <row r="6">
      <c r="A6" s="4" t="inlineStr">
        <is>
          <t>Metrics</t>
        </is>
      </c>
      <c r="B6" s="5" t="inlineStr">
        <is>
          <t>frequency</t>
        </is>
      </c>
      <c r="C6" s="5" t="inlineStr">
        <is>
          <t>theme_share (global) / theme_share_in_app (app-level)</t>
        </is>
      </c>
      <c r="D6" s="6" t="inlineStr">
        <is>
          <t>Done</t>
        </is>
      </c>
      <c r="E6" s="5" t="inlineStr">
        <is>
          <t>reports/tables/theme_priority_score.csv</t>
        </is>
      </c>
      <c r="F6" s="5" t="inlineStr"/>
    </row>
    <row r="7">
      <c r="A7" s="4" t="inlineStr">
        <is>
          <t>Metrics</t>
        </is>
      </c>
      <c r="B7" s="5" t="inlineStr">
        <is>
          <t>impact</t>
        </is>
      </c>
      <c r="C7" s="5" t="inlineStr">
        <is>
          <t>max(rating_gap, 0) for negative themes</t>
        </is>
      </c>
      <c r="D7" s="6" t="inlineStr">
        <is>
          <t>Done</t>
        </is>
      </c>
      <c r="E7" s="5" t="inlineStr">
        <is>
          <t>reports/tables/theme_priority_score.csv</t>
        </is>
      </c>
      <c r="F7" s="5" t="inlineStr"/>
    </row>
    <row r="8">
      <c r="A8" s="4" t="inlineStr">
        <is>
          <t>Metrics</t>
        </is>
      </c>
      <c r="B8" s="5" t="inlineStr">
        <is>
          <t>severity</t>
        </is>
      </c>
      <c r="C8" s="5" t="inlineStr">
        <is>
          <t>share_low_1_2</t>
        </is>
      </c>
      <c r="D8" s="6" t="inlineStr">
        <is>
          <t>Done</t>
        </is>
      </c>
      <c r="E8" s="5" t="inlineStr">
        <is>
          <t>reports/tables/theme_priority_score.csv</t>
        </is>
      </c>
      <c r="F8" s="5" t="inlineStr"/>
    </row>
    <row r="9">
      <c r="A9" s="4" t="inlineStr">
        <is>
          <t>Metrics</t>
        </is>
      </c>
      <c r="B9" s="5" t="inlineStr">
        <is>
          <t>priority_score</t>
        </is>
      </c>
      <c r="C9" s="5" t="inlineStr">
        <is>
          <t>norm(freq)×norm(impact)×norm(severity)×1.5^critical</t>
        </is>
      </c>
      <c r="D9" s="6" t="inlineStr">
        <is>
          <t>Done</t>
        </is>
      </c>
      <c r="E9" s="5" t="inlineStr">
        <is>
          <t>reports/tables/theme_priority_score.csv</t>
        </is>
      </c>
      <c r="F9" s="5" t="inlineStr"/>
    </row>
    <row r="10">
      <c r="A10" s="4" t="inlineStr">
        <is>
          <t>Output</t>
        </is>
      </c>
      <c r="B10" s="5" t="inlineStr">
        <is>
          <t>recommendation_matrix.csv</t>
        </is>
      </c>
      <c r="C10" s="5" t="inlineStr">
        <is>
          <t>8 rows (P0+P1), owner/action/30-day-goal included</t>
        </is>
      </c>
      <c r="D10" s="6" t="inlineStr">
        <is>
          <t>Done</t>
        </is>
      </c>
      <c r="E10" s="5" t="inlineStr">
        <is>
          <t>reports/tables/recommendation_matrix.csv</t>
        </is>
      </c>
      <c r="F10" s="5" t="inlineStr"/>
    </row>
    <row r="11">
      <c r="A11" s="4" t="inlineStr">
        <is>
          <t>Output</t>
        </is>
      </c>
      <c r="B11" s="5" t="inlineStr">
        <is>
          <t>P0_P1_P2_P3_table</t>
        </is>
      </c>
      <c r="C11" s="5" t="inlineStr">
        <is>
          <t>theme_priority_score.csv with priority_bucket</t>
        </is>
      </c>
      <c r="D11" s="6" t="inlineStr">
        <is>
          <t>Done</t>
        </is>
      </c>
      <c r="E11" s="5" t="inlineStr">
        <is>
          <t>reports/tables/theme_priority_score.csv</t>
        </is>
      </c>
      <c r="F11" s="5" t="inlineStr"/>
    </row>
    <row r="12">
      <c r="A12" s="4" t="inlineStr">
        <is>
          <t>Summary</t>
        </is>
      </c>
      <c r="B12" s="5" t="inlineStr">
        <is>
          <t>day_conclusion</t>
        </is>
      </c>
      <c r="C12" s="5" t="inlineStr">
        <is>
          <t>Day 5 BQ5 delivered; backlog priorities ready for Page 4</t>
        </is>
      </c>
      <c r="D12" s="6" t="inlineStr">
        <is>
          <t>Done</t>
        </is>
      </c>
      <c r="E12" s="5" t="inlineStr">
        <is>
          <t>docs/daily_logs/day5_2026-05-27.md</t>
        </is>
      </c>
      <c r="F12" s="5" t="inlineStr"/>
    </row>
    <row r="13">
      <c r="A13" s="4" t="inlineStr">
        <is>
          <t>Task ID</t>
        </is>
      </c>
      <c r="B13" s="5" t="inlineStr">
        <is>
          <t>D5-07</t>
        </is>
      </c>
      <c r="C13" s="5" t="n"/>
      <c r="D13" s="6" t="inlineStr">
        <is>
          <t>Todo</t>
        </is>
      </c>
      <c r="E13" s="5" t="n"/>
      <c r="F13" s="5" t="n"/>
    </row>
    <row r="14">
      <c r="A14" s="4" t="inlineStr">
        <is>
          <t>Task Name</t>
        </is>
      </c>
      <c r="B14" s="5" t="inlineStr">
        <is>
          <t>Prepare Power BI source tables and relationship plan</t>
        </is>
      </c>
      <c r="C14" s="5" t="n"/>
      <c r="D14" s="6" t="n"/>
      <c r="E14" s="5" t="n"/>
      <c r="F14" s="5" t="n"/>
    </row>
    <row r="15">
      <c r="A15" s="4" t="inlineStr">
        <is>
          <t>Description</t>
        </is>
      </c>
      <c r="B15" s="5" t="inlineStr">
        <is>
          <t>Confirm all dashboard-ready tables are exported and named consistently before Power BI build; prepare relationship plan for app-level, publisher-level, theme-level, and recommendation-level tables.</t>
        </is>
      </c>
      <c r="C15" s="5" t="n"/>
      <c r="D15" s="6" t="n"/>
      <c r="E15" s="5" t="n"/>
      <c r="F15" s="5" t="n"/>
    </row>
    <row r="16">
      <c r="A16" s="4" t="inlineStr">
        <is>
          <t>Expected Output / Evidence</t>
        </is>
      </c>
      <c r="B16" s="5" t="inlineStr">
        <is>
          <t>reports/tables/app_summary.csv; reports/tables/publisher_summary.csv; reports/tables/health_score.csv; reports/tables/theme_summary.csv; reports/tables/low_star_theme_summary.csv; reports/tables/positive_theme_summary.csv; reports/tables/app_theme_matrix.csv; reports/tables/recommendation_matrix.csv; docs/powerbi_data_model_notes.md</t>
        </is>
      </c>
      <c r="C16" s="5" t="n"/>
      <c r="D16" s="6" t="n"/>
      <c r="E16" s="5" t="n"/>
      <c r="F16" s="5" t="n"/>
    </row>
    <row r="17">
      <c r="A17" s="4" t="inlineStr">
        <is>
          <t>Purpose</t>
        </is>
      </c>
      <c r="B17" s="5" t="inlineStr">
        <is>
          <t>Reduces Day 6 workload and avoids dashboard blocking due to messy source tables.</t>
        </is>
      </c>
      <c r="C17" s="5" t="n"/>
      <c r="D17" s="6" t="n"/>
      <c r="E17" s="5" t="n"/>
      <c r="F17" s="5" t="n"/>
    </row>
    <row r="18">
      <c r="A18" s="4" t="n"/>
      <c r="B18" s="5" t="n"/>
      <c r="C18" s="5" t="n"/>
      <c r="D18" s="6" t="n"/>
      <c r="E18" s="5" t="n"/>
      <c r="F18" s="5" t="n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:F1"/>
    </sheetView>
  </sheetViews>
  <sheetFormatPr baseColWidth="8" defaultColWidth="9" defaultRowHeight="16.8"/>
  <cols>
    <col width="14" customWidth="1" min="1" max="1"/>
    <col width="30" customWidth="1" min="2" max="2"/>
    <col width="26" customWidth="1" min="3" max="3"/>
    <col width="12" customWidth="1" min="4" max="4"/>
    <col width="36" customWidth="1" min="5" max="6"/>
  </cols>
  <sheetData>
    <row r="1" ht="20.4" customHeight="1">
      <c r="A1" s="1" t="inlineStr">
        <is>
          <t>Day 6 Completion Log</t>
        </is>
      </c>
    </row>
    <row r="3">
      <c r="A3" s="2" t="inlineStr">
        <is>
          <t>Date</t>
        </is>
      </c>
      <c r="B3" t="inlineStr">
        <is>
          <t>2026-05-28</t>
        </is>
      </c>
      <c r="D3" s="2" t="inlineStr">
        <is>
          <t>Owner</t>
        </is>
      </c>
      <c r="E3" t="inlineStr">
        <is>
          <t>William</t>
        </is>
      </c>
    </row>
    <row r="5">
      <c r="A5" s="3" t="inlineStr">
        <is>
          <t>Section</t>
        </is>
      </c>
      <c r="B5" s="3" t="inlineStr">
        <is>
          <t>Metric</t>
        </is>
      </c>
      <c r="C5" s="3" t="inlineStr">
        <is>
          <t>Value</t>
        </is>
      </c>
      <c r="D5" s="3" t="inlineStr">
        <is>
          <t>Status</t>
        </is>
      </c>
      <c r="E5" s="3" t="inlineStr">
        <is>
          <t>Evidence/File</t>
        </is>
      </c>
      <c r="F5" s="3" t="inlineStr">
        <is>
          <t>Notes</t>
        </is>
      </c>
    </row>
    <row r="6">
      <c r="A6" s="4" t="inlineStr">
        <is>
          <t>Dashboard</t>
        </is>
      </c>
      <c r="B6" s="5" t="inlineStr">
        <is>
          <t>page1_executive</t>
        </is>
      </c>
      <c r="C6" s="5" t="inlineStr">
        <is>
          <t>Tableau Page 1 complete (Executive Overview).</t>
        </is>
      </c>
      <c r="D6" s="6" t="inlineStr">
        <is>
          <t>Done</t>
        </is>
      </c>
      <c r="E6" s="5" t="inlineStr">
        <is>
          <t>reports/每日复盘/Mobile_Game_Satisfaction_Tableau.twbx</t>
        </is>
      </c>
      <c r="F6" s="5" t="inlineStr">
        <is>
          <t>dashboard_page1.png captured</t>
        </is>
      </c>
    </row>
    <row r="7">
      <c r="A7" s="4" t="inlineStr">
        <is>
          <t>Dashboard</t>
        </is>
      </c>
      <c r="B7" s="5" t="inlineStr">
        <is>
          <t>page2_competitor</t>
        </is>
      </c>
      <c r="C7" s="5" t="inlineStr">
        <is>
          <t>Tableau Page 2 complete (Competitor Benchmark).</t>
        </is>
      </c>
      <c r="D7" s="6" t="inlineStr">
        <is>
          <t>Done</t>
        </is>
      </c>
      <c r="E7" s="5" t="inlineStr">
        <is>
          <t>reports/每日复盘/Mobile_Game_Satisfaction_Tableau.twbx</t>
        </is>
      </c>
      <c r="F7" s="5" t="inlineStr">
        <is>
          <t>dashboard_page2.png captured</t>
        </is>
      </c>
    </row>
    <row r="8">
      <c r="A8" s="4" t="inlineStr">
        <is>
          <t>Dashboard</t>
        </is>
      </c>
      <c r="B8" s="5" t="inlineStr">
        <is>
          <t>page3_themes</t>
        </is>
      </c>
      <c r="C8" s="5" t="inlineStr">
        <is>
          <t>Tableau Page 3 complete (Theme Insights).</t>
        </is>
      </c>
      <c r="D8" s="6" t="inlineStr">
        <is>
          <t>Done</t>
        </is>
      </c>
      <c r="E8" s="5" t="inlineStr">
        <is>
          <t>reports/每日复盘/Mobile_Game_Satisfaction_Tableau.twbx</t>
        </is>
      </c>
      <c r="F8" s="5" t="inlineStr">
        <is>
          <t>dashboard_page3.png captured</t>
        </is>
      </c>
    </row>
    <row r="9">
      <c r="A9" s="4" t="inlineStr">
        <is>
          <t>Dashboard</t>
        </is>
      </c>
      <c r="B9" s="5" t="inlineStr">
        <is>
          <t>page4_recommendation</t>
        </is>
      </c>
      <c r="C9" s="5" t="inlineStr">
        <is>
          <t>Tableau Page 4 complete (Product Recommendation).</t>
        </is>
      </c>
      <c r="D9" s="6" t="inlineStr">
        <is>
          <t>Done</t>
        </is>
      </c>
      <c r="E9" s="5" t="inlineStr">
        <is>
          <t>reports/每日复盘/Mobile_Game_Satisfaction_Tableau.twbx</t>
        </is>
      </c>
      <c r="F9" s="5" t="inlineStr">
        <is>
          <t>dashboard_page4.png captured</t>
        </is>
      </c>
    </row>
    <row r="10">
      <c r="A10" s="4" t="inlineStr">
        <is>
          <t>Report</t>
        </is>
      </c>
      <c r="B10" s="5" t="inlineStr">
        <is>
          <t>insight_report_v1</t>
        </is>
      </c>
      <c r="C10" s="5" t="inlineStr">
        <is>
          <t>Bilingual 9 sections; 8 embedded figures; ~1.4 MB PDF</t>
        </is>
      </c>
      <c r="D10" s="6" t="inlineStr">
        <is>
          <t>Done</t>
        </is>
      </c>
      <c r="E10" s="5" t="inlineStr">
        <is>
          <t>reports/每日复盘/User_Satisfaction_Insight_Report.pdf</t>
        </is>
      </c>
      <c r="F10" s="5" t="inlineStr"/>
    </row>
    <row r="11">
      <c r="A11" s="4" t="inlineStr">
        <is>
          <t>Validation</t>
        </is>
      </c>
      <c r="B11" s="5" t="inlineStr">
        <is>
          <t>visual_QA</t>
        </is>
      </c>
      <c r="C11" s="5" t="inlineStr">
        <is>
          <t>All 8 PNGs regenerated from CSV; visual sanity check OK</t>
        </is>
      </c>
      <c r="D11" s="6" t="inlineStr">
        <is>
          <t>Done</t>
        </is>
      </c>
      <c r="E11" s="5" t="inlineStr">
        <is>
          <t>reports/每日复盘/figures/</t>
        </is>
      </c>
      <c r="F11" s="5" t="inlineStr"/>
    </row>
    <row r="12">
      <c r="A12" s="4" t="inlineStr">
        <is>
          <t>Summary</t>
        </is>
      </c>
      <c r="B12" s="5" t="inlineStr">
        <is>
          <t>day_conclusion</t>
        </is>
      </c>
      <c r="C12" s="5" t="inlineStr">
        <is>
          <t>Day 6 dashboard + report deliverables complete; Tableau build finished on macOS.</t>
        </is>
      </c>
      <c r="D12" s="6" t="inlineStr">
        <is>
          <t>Done</t>
        </is>
      </c>
      <c r="E12" s="5" t="inlineStr">
        <is>
          <t>docs/daily_logs/day6_2026-05-28.md</t>
        </is>
      </c>
      <c r="F12" s="5" t="n"/>
    </row>
    <row r="13">
      <c r="A13" s="4" t="inlineStr">
        <is>
          <t>Task ID</t>
        </is>
      </c>
      <c r="B13" s="5" t="inlineStr">
        <is>
          <t>D6-07</t>
        </is>
      </c>
      <c r="C13" s="5" t="n"/>
      <c r="D13" s="6" t="inlineStr">
        <is>
          <t>Done</t>
        </is>
      </c>
      <c r="E13" s="5" t="n"/>
      <c r="F13" s="5" t="n"/>
    </row>
    <row r="14">
      <c r="A14" s="4" t="inlineStr">
        <is>
          <t>Task Name</t>
        </is>
      </c>
      <c r="B14" s="5" t="inlineStr">
        <is>
          <t>Add Data Honesty &amp; Limitations section to insight report</t>
        </is>
      </c>
      <c r="C14" s="5" t="n"/>
      <c r="D14" s="6" t="n"/>
      <c r="E14" s="5" t="n"/>
      <c r="F14" s="5" t="n"/>
    </row>
    <row r="15">
      <c r="A15" s="4" t="inlineStr">
        <is>
          <t>Description</t>
        </is>
      </c>
      <c r="B15" s="5" t="inlineStr">
        <is>
          <t>Add a short limitations section: Google Play reviews are public samples (not full user population); metrics are review-based proxy signals; no internal retention/conversion/revenue/DAU or causal impact analysis.</t>
        </is>
      </c>
      <c r="C15" s="5" t="n"/>
      <c r="D15" s="6" t="n"/>
      <c r="E15" s="5" t="n"/>
      <c r="F15" s="5" t="n"/>
    </row>
    <row r="16">
      <c r="A16" s="4" t="inlineStr">
        <is>
          <t>Expected Output / Evidence</t>
        </is>
      </c>
      <c r="B16" s="5" t="inlineStr">
        <is>
          <t>Limitations section in reports/Mobile_Game_Review_Analytics_Insight_Report.docx; same limitation note summarized in README</t>
        </is>
      </c>
      <c r="C16" s="5" t="n"/>
      <c r="D16" s="6" t="n"/>
      <c r="E16" s="5" t="n"/>
      <c r="F16" s="5" t="n"/>
    </row>
    <row r="17">
      <c r="A17" s="4" t="inlineStr">
        <is>
          <t>Purpose</t>
        </is>
      </c>
      <c r="B17" s="5" t="inlineStr">
        <is>
          <t>Aligns with design doc and prevents overclaiming business impact.</t>
        </is>
      </c>
      <c r="C17" s="5" t="n"/>
      <c r="D17" s="6" t="n"/>
      <c r="E17" s="5" t="n"/>
      <c r="F17" s="5" t="n"/>
    </row>
    <row r="18">
      <c r="A18" s="4" t="n"/>
      <c r="B18" s="5" t="n"/>
      <c r="C18" s="5" t="n"/>
      <c r="D18" s="6" t="n"/>
      <c r="E18" s="5" t="n"/>
      <c r="F18" s="5" t="n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E27" sqref="E27"/>
    </sheetView>
  </sheetViews>
  <sheetFormatPr baseColWidth="8" defaultColWidth="9" defaultRowHeight="16.8"/>
  <cols>
    <col width="14" customWidth="1" min="1" max="1"/>
    <col width="30" customWidth="1" min="2" max="2"/>
    <col width="26" customWidth="1" min="3" max="3"/>
    <col width="12" customWidth="1" min="4" max="4"/>
    <col width="36" customWidth="1" min="5" max="6"/>
  </cols>
  <sheetData>
    <row r="1" ht="20.4" customHeight="1">
      <c r="A1" s="1" t="inlineStr">
        <is>
          <t>Day 7 Completion Log</t>
        </is>
      </c>
    </row>
    <row r="3">
      <c r="A3" s="2" t="inlineStr">
        <is>
          <t>Date</t>
        </is>
      </c>
      <c r="D3" s="2" t="inlineStr">
        <is>
          <t>Owner</t>
        </is>
      </c>
      <c r="E3" t="inlineStr">
        <is>
          <t>William</t>
        </is>
      </c>
    </row>
    <row r="5">
      <c r="A5" s="3" t="inlineStr">
        <is>
          <t>Section</t>
        </is>
      </c>
      <c r="B5" s="3" t="inlineStr">
        <is>
          <t>Metric</t>
        </is>
      </c>
      <c r="C5" s="3" t="inlineStr">
        <is>
          <t>Value</t>
        </is>
      </c>
      <c r="D5" s="3" t="inlineStr">
        <is>
          <t>Status</t>
        </is>
      </c>
      <c r="E5" s="3" t="inlineStr">
        <is>
          <t>Evidence/File</t>
        </is>
      </c>
      <c r="F5" s="3" t="inlineStr">
        <is>
          <t>Notes</t>
        </is>
      </c>
    </row>
    <row r="6">
      <c r="A6" s="4" t="inlineStr">
        <is>
          <t>Portfolio</t>
        </is>
      </c>
      <c r="B6" s="5" t="inlineStr">
        <is>
          <t>README_update</t>
        </is>
      </c>
      <c r="C6" s="5" t="inlineStr"/>
      <c r="D6" s="6" t="inlineStr">
        <is>
          <t>Todo</t>
        </is>
      </c>
      <c r="E6" s="5" t="inlineStr"/>
      <c r="F6" s="5" t="inlineStr"/>
    </row>
    <row r="7">
      <c r="A7" s="4" t="inlineStr">
        <is>
          <t>Portfolio</t>
        </is>
      </c>
      <c r="B7" s="5" t="inlineStr">
        <is>
          <t>dashboard_screenshots</t>
        </is>
      </c>
      <c r="C7" s="5" t="inlineStr"/>
      <c r="D7" s="6" t="inlineStr">
        <is>
          <t>Todo</t>
        </is>
      </c>
      <c r="E7" s="5" t="inlineStr"/>
      <c r="F7" s="5" t="inlineStr"/>
    </row>
    <row r="8">
      <c r="A8" s="4" t="inlineStr">
        <is>
          <t>Career</t>
        </is>
      </c>
      <c r="B8" s="5" t="inlineStr">
        <is>
          <t>resume_bullets</t>
        </is>
      </c>
      <c r="C8" s="5" t="inlineStr"/>
      <c r="D8" s="6" t="inlineStr">
        <is>
          <t>Todo</t>
        </is>
      </c>
      <c r="E8" s="5" t="inlineStr"/>
      <c r="F8" s="5" t="inlineStr"/>
    </row>
    <row r="9">
      <c r="A9" s="4" t="inlineStr">
        <is>
          <t>Career</t>
        </is>
      </c>
      <c r="B9" s="5" t="inlineStr">
        <is>
          <t>interview_storyline</t>
        </is>
      </c>
      <c r="C9" s="5" t="inlineStr"/>
      <c r="D9" s="6" t="inlineStr">
        <is>
          <t>Todo</t>
        </is>
      </c>
      <c r="E9" s="5" t="inlineStr"/>
      <c r="F9" s="5" t="inlineStr"/>
    </row>
    <row r="10">
      <c r="A10" s="4" t="inlineStr">
        <is>
          <t>QA</t>
        </is>
      </c>
      <c r="B10" s="5" t="inlineStr">
        <is>
          <t>final_package_QA</t>
        </is>
      </c>
      <c r="C10" s="5" t="inlineStr"/>
      <c r="D10" s="6" t="inlineStr">
        <is>
          <t>Todo</t>
        </is>
      </c>
      <c r="E10" s="5" t="inlineStr"/>
      <c r="F10" s="5" t="inlineStr"/>
    </row>
    <row r="11">
      <c r="A11" s="4" t="inlineStr">
        <is>
          <t>Output</t>
        </is>
      </c>
      <c r="B11" s="5" t="inlineStr">
        <is>
          <t>deliverable_freeze</t>
        </is>
      </c>
      <c r="C11" s="5" t="inlineStr"/>
      <c r="D11" s="6" t="inlineStr">
        <is>
          <t>Todo</t>
        </is>
      </c>
      <c r="E11" s="5" t="inlineStr"/>
      <c r="F11" s="5" t="inlineStr"/>
    </row>
    <row r="12">
      <c r="A12" s="4" t="inlineStr">
        <is>
          <t>Summary</t>
        </is>
      </c>
      <c r="B12" s="5" t="inlineStr">
        <is>
          <t>day_conclusion</t>
        </is>
      </c>
      <c r="C12" s="5" t="inlineStr"/>
      <c r="D12" s="6" t="inlineStr">
        <is>
          <t>Todo</t>
        </is>
      </c>
      <c r="E12" s="5" t="inlineStr"/>
      <c r="F12" s="5" t="inlineStr"/>
    </row>
    <row r="13">
      <c r="A13" s="4" t="inlineStr">
        <is>
          <t>Task ID</t>
        </is>
      </c>
      <c r="B13" s="5" t="inlineStr">
        <is>
          <t>D7-07</t>
        </is>
      </c>
      <c r="C13" s="5" t="n"/>
      <c r="D13" s="6" t="inlineStr">
        <is>
          <t>Todo</t>
        </is>
      </c>
      <c r="E13" s="5" t="n"/>
      <c r="F13" s="5" t="n"/>
    </row>
    <row r="14">
      <c r="A14" s="4" t="inlineStr">
        <is>
          <t>Task Name</t>
        </is>
      </c>
      <c r="B14" s="5" t="inlineStr">
        <is>
          <t>Freeze public portfolio version and clean placeholders</t>
        </is>
      </c>
      <c r="C14" s="5" t="n"/>
      <c r="D14" s="6" t="n"/>
      <c r="E14" s="5" t="n"/>
      <c r="F14" s="5" t="n"/>
    </row>
    <row r="15">
      <c r="A15" s="4" t="inlineStr">
        <is>
          <t>Description</t>
        </is>
      </c>
      <c r="B15" s="5" t="inlineStr">
        <is>
          <t>Remove temporary placeholders, verify file paths, check dashboard screenshots, ensure README/report wording is professional, and create clean public-facing package.</t>
        </is>
      </c>
      <c r="C15" s="5" t="n"/>
      <c r="D15" s="6" t="n"/>
      <c r="E15" s="5" t="n"/>
      <c r="F15" s="5" t="n"/>
    </row>
    <row r="16">
      <c r="A16" s="4" t="inlineStr">
        <is>
          <t>Expected Output / Evidence</t>
        </is>
      </c>
      <c r="B16" s="5" t="inlineStr">
        <is>
          <t>portfolio/Project_README.md; portfolio/Dashboard_Screenshots.pdf; portfolio/Insight_Report.pdf; portfolio/Methodology_Appendix.pdf; private_job_prep/Resume_Bullets.docx; private_job_prep/Interview_Story.docx</t>
        </is>
      </c>
      <c r="C16" s="5" t="n"/>
      <c r="D16" s="6" t="n"/>
      <c r="E16" s="5" t="n"/>
      <c r="F16" s="5" t="n"/>
    </row>
    <row r="17">
      <c r="A17" s="4" t="inlineStr">
        <is>
          <t>Purpose</t>
        </is>
      </c>
      <c r="B17" s="5" t="inlineStr">
        <is>
          <t>Separates public portfolio materials from private job-prep materials.</t>
        </is>
      </c>
      <c r="C17" s="5" t="n"/>
      <c r="D17" s="6" t="n"/>
      <c r="E17" s="5" t="n"/>
      <c r="F17" s="5" t="n"/>
    </row>
    <row r="18">
      <c r="A18" s="4" t="n"/>
      <c r="B18" s="5" t="n"/>
      <c r="C18" s="5" t="n"/>
      <c r="D18" s="6" t="n"/>
      <c r="E18" s="5" t="n"/>
      <c r="F18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2026-05-05T14:36:00Z</dcterms:created>
  <dcterms:modified xmlns:dcterms="http://purl.org/dc/terms/" xmlns:xsi="http://www.w3.org/2001/XMLSchema-instance" xsi:type="dcterms:W3CDTF">2026-06-02T07:21:03Z</dcterms:modified>
  <cp:lastModifiedBy>热爱动漫的少年老张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EEA252EE1BD2C969594CFA696EB33D91_42</vt:lpwstr>
  </property>
  <property name="KSOProductBuildVer" fmtid="{D5CDD505-2E9C-101B-9397-08002B2CF9AE}" pid="3">
    <vt:lpwstr xmlns:vt="http://schemas.openxmlformats.org/officeDocument/2006/docPropsVTypes">2052-12.1.25869.25869</vt:lpwstr>
  </property>
  <property name="CalculationRule" fmtid="{D5CDD505-2E9C-101B-9397-08002B2CF9AE}" pid="4">
    <vt:i4 xmlns:vt="http://schemas.openxmlformats.org/officeDocument/2006/docPropsVTypes">0</vt:i4>
  </property>
</Properties>
</file>